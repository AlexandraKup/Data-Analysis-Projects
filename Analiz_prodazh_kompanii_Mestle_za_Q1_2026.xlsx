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2A809BF-654F-4533-A3C2-0B753DF180F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Данные" sheetId="1" r:id="rId1"/>
    <sheet name="План на квартал" sheetId="4" r:id="rId2"/>
    <sheet name="План-Факт" sheetId="5" r:id="rId3"/>
    <sheet name="Сводные" sheetId="2" r:id="rId4"/>
    <sheet name="Дашборд" sheetId="3" r:id="rId5"/>
  </sheets>
  <definedNames>
    <definedName name="Срез_Месяц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D3" i="3" a="1"/>
  <c r="D3" i="3" s="1"/>
  <c r="C2" i="5"/>
  <c r="C6" i="5"/>
  <c r="C5" i="5"/>
  <c r="C4" i="5"/>
  <c r="C3" i="5"/>
  <c r="B3" i="5"/>
  <c r="B4" i="5"/>
  <c r="B5" i="5"/>
  <c r="B6" i="5"/>
  <c r="B7" i="5"/>
  <c r="B2" i="5"/>
  <c r="B4" i="3"/>
  <c r="B3" i="3"/>
  <c r="B5" i="3" s="1"/>
  <c r="J4" i="1"/>
  <c r="J8" i="1"/>
  <c r="J22" i="1"/>
  <c r="J7" i="1"/>
  <c r="J109" i="1"/>
  <c r="J92" i="1"/>
  <c r="J112" i="1"/>
  <c r="J175" i="1"/>
  <c r="J66" i="1"/>
  <c r="J13" i="1"/>
  <c r="J14" i="1"/>
  <c r="J15" i="1"/>
  <c r="J16" i="1"/>
  <c r="J17" i="1"/>
  <c r="J60" i="1"/>
  <c r="J19" i="1"/>
  <c r="J20" i="1"/>
  <c r="J21" i="1"/>
  <c r="J182" i="1"/>
  <c r="J140" i="1"/>
  <c r="J24" i="1"/>
  <c r="J25" i="1"/>
  <c r="J12" i="1"/>
  <c r="J27" i="1"/>
  <c r="J28" i="1"/>
  <c r="J90" i="1"/>
  <c r="J30" i="1"/>
  <c r="J31" i="1"/>
  <c r="J32" i="1"/>
  <c r="J144" i="1"/>
  <c r="J42" i="1"/>
  <c r="J35" i="1"/>
  <c r="J6" i="1"/>
  <c r="J173" i="1"/>
  <c r="J38" i="1"/>
  <c r="J37" i="1"/>
  <c r="J40" i="1"/>
  <c r="J41" i="1"/>
  <c r="J52" i="1"/>
  <c r="J43" i="1"/>
  <c r="J44" i="1"/>
  <c r="J45" i="1"/>
  <c r="J46" i="1"/>
  <c r="J81" i="1"/>
  <c r="J48" i="1"/>
  <c r="J49" i="1"/>
  <c r="J50" i="1"/>
  <c r="J10" i="1"/>
  <c r="J5" i="1"/>
  <c r="J53" i="1"/>
  <c r="J54" i="1"/>
  <c r="J36" i="1"/>
  <c r="J56" i="1"/>
  <c r="J57" i="1"/>
  <c r="J136" i="1"/>
  <c r="J18" i="1"/>
  <c r="J160" i="1"/>
  <c r="J61" i="1"/>
  <c r="J62" i="1"/>
  <c r="J63" i="1"/>
  <c r="J64" i="1"/>
  <c r="J102" i="1"/>
  <c r="J80" i="1"/>
  <c r="J67" i="1"/>
  <c r="J68" i="1"/>
  <c r="J69" i="1"/>
  <c r="J70" i="1"/>
  <c r="J71" i="1"/>
  <c r="J72" i="1"/>
  <c r="J73" i="1"/>
  <c r="J74" i="1"/>
  <c r="J178" i="1"/>
  <c r="J76" i="1"/>
  <c r="J47" i="1"/>
  <c r="J78" i="1"/>
  <c r="J79" i="1"/>
  <c r="J129" i="1"/>
  <c r="J104" i="1"/>
  <c r="J82" i="1"/>
  <c r="J83" i="1"/>
  <c r="J84" i="1"/>
  <c r="J77" i="1"/>
  <c r="J58" i="1"/>
  <c r="J59" i="1"/>
  <c r="J96" i="1"/>
  <c r="J89" i="1"/>
  <c r="J97" i="1"/>
  <c r="J188" i="1"/>
  <c r="J103" i="1"/>
  <c r="J93" i="1"/>
  <c r="J94" i="1"/>
  <c r="J95" i="1"/>
  <c r="J91" i="1"/>
  <c r="J51" i="1"/>
  <c r="J98" i="1"/>
  <c r="J99" i="1"/>
  <c r="J100" i="1"/>
  <c r="J101" i="1"/>
  <c r="J110" i="1"/>
  <c r="J39" i="1"/>
  <c r="J132" i="1"/>
  <c r="J105" i="1"/>
  <c r="J164" i="1"/>
  <c r="J107" i="1"/>
  <c r="J108" i="1"/>
  <c r="J184" i="1"/>
  <c r="J86" i="1"/>
  <c r="J111" i="1"/>
  <c r="J11" i="1"/>
  <c r="J113" i="1"/>
  <c r="J114" i="1"/>
  <c r="J115" i="1"/>
  <c r="J116" i="1"/>
  <c r="J117" i="1"/>
  <c r="J118" i="1"/>
  <c r="J119" i="1"/>
  <c r="J120" i="1"/>
  <c r="J185" i="1"/>
  <c r="J177" i="1"/>
  <c r="J123" i="1"/>
  <c r="J124" i="1"/>
  <c r="J125" i="1"/>
  <c r="J126" i="1"/>
  <c r="J127" i="1"/>
  <c r="J167" i="1"/>
  <c r="J26" i="1"/>
  <c r="J130" i="1"/>
  <c r="J131" i="1"/>
  <c r="J65" i="1"/>
  <c r="J133" i="1"/>
  <c r="J85" i="1"/>
  <c r="J135" i="1"/>
  <c r="J106" i="1"/>
  <c r="J137" i="1"/>
  <c r="J138" i="1"/>
  <c r="J139" i="1"/>
  <c r="J176" i="1"/>
  <c r="J141" i="1"/>
  <c r="J142" i="1"/>
  <c r="J143" i="1"/>
  <c r="J34" i="1"/>
  <c r="J145" i="1"/>
  <c r="J88" i="1"/>
  <c r="J147" i="1"/>
  <c r="J134" i="1"/>
  <c r="J149" i="1"/>
  <c r="J146" i="1"/>
  <c r="J151" i="1"/>
  <c r="J152" i="1"/>
  <c r="J153" i="1"/>
  <c r="J154" i="1"/>
  <c r="J155" i="1"/>
  <c r="J156" i="1"/>
  <c r="J157" i="1"/>
  <c r="J158" i="1"/>
  <c r="J159" i="1"/>
  <c r="J9" i="1"/>
  <c r="J161" i="1"/>
  <c r="J196" i="1"/>
  <c r="J163" i="1"/>
  <c r="J122" i="1"/>
  <c r="J165" i="1"/>
  <c r="J166" i="1"/>
  <c r="J198" i="1"/>
  <c r="J168" i="1"/>
  <c r="J169" i="1"/>
  <c r="J170" i="1"/>
  <c r="J171" i="1"/>
  <c r="J172" i="1"/>
  <c r="J29" i="1"/>
  <c r="J174" i="1"/>
  <c r="J23" i="1"/>
  <c r="J75" i="1"/>
  <c r="J193" i="1"/>
  <c r="J55" i="1"/>
  <c r="J179" i="1"/>
  <c r="J180" i="1"/>
  <c r="J148" i="1"/>
  <c r="J181" i="1"/>
  <c r="J183" i="1"/>
  <c r="J33" i="1"/>
  <c r="J87" i="1"/>
  <c r="J186" i="1"/>
  <c r="J187" i="1"/>
  <c r="J128" i="1"/>
  <c r="J189" i="1"/>
  <c r="J190" i="1"/>
  <c r="J191" i="1"/>
  <c r="J192" i="1"/>
  <c r="J162" i="1"/>
  <c r="J194" i="1"/>
  <c r="J195" i="1"/>
  <c r="J121" i="1"/>
  <c r="J197" i="1"/>
  <c r="J150" i="1"/>
  <c r="J199" i="1"/>
  <c r="J200" i="1"/>
  <c r="J201" i="1"/>
  <c r="J202" i="1"/>
  <c r="J3" i="1"/>
  <c r="E2" i="5" l="1"/>
  <c r="D2" i="5"/>
  <c r="C7" i="5"/>
  <c r="E3" i="5"/>
  <c r="D3" i="5"/>
  <c r="E4" i="5"/>
  <c r="D4" i="5"/>
  <c r="E5" i="5"/>
  <c r="D5" i="5"/>
  <c r="E6" i="5"/>
  <c r="D6" i="5"/>
  <c r="E7" i="5" l="1"/>
  <c r="D7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<sst xmlns="http://schemas.openxmlformats.org/spreadsheetml/2006/main" count="859" uniqueCount="121">
  <si>
    <t>Данные за Q1 2026</t>
  </si>
  <si>
    <t>Дата</t>
  </si>
  <si>
    <t>Продукт</t>
  </si>
  <si>
    <t>Категория</t>
  </si>
  <si>
    <t>Регион</t>
  </si>
  <si>
    <t>Объем (уп)</t>
  </si>
  <si>
    <t>Цена</t>
  </si>
  <si>
    <t>Себестоимость</t>
  </si>
  <si>
    <t>Выручка</t>
  </si>
  <si>
    <t>Маржа</t>
  </si>
  <si>
    <t>Месяц</t>
  </si>
  <si>
    <t>21.02.2026</t>
  </si>
  <si>
    <t>KitKat</t>
  </si>
  <si>
    <t>Шоколад</t>
  </si>
  <si>
    <t>Россия</t>
  </si>
  <si>
    <t>15.01.2026</t>
  </si>
  <si>
    <t>Nescafe</t>
  </si>
  <si>
    <t>Кофе</t>
  </si>
  <si>
    <t>01.03.2026</t>
  </si>
  <si>
    <t>Nido</t>
  </si>
  <si>
    <t>Молоко</t>
  </si>
  <si>
    <t>03.03.2026</t>
  </si>
  <si>
    <t>21.01.2026</t>
  </si>
  <si>
    <t>Казахстан</t>
  </si>
  <si>
    <t>13.03.2026</t>
  </si>
  <si>
    <t>12.03.2026</t>
  </si>
  <si>
    <t>Узбекистан</t>
  </si>
  <si>
    <t>30.03.2026</t>
  </si>
  <si>
    <t>22.03.2026</t>
  </si>
  <si>
    <t>17.03.2026</t>
  </si>
  <si>
    <t>24.01.2026</t>
  </si>
  <si>
    <t>Украина</t>
  </si>
  <si>
    <t>03.01.2026</t>
  </si>
  <si>
    <t>22.01.2026</t>
  </si>
  <si>
    <t>Несквик</t>
  </si>
  <si>
    <t>Какао</t>
  </si>
  <si>
    <t>22.02.2026</t>
  </si>
  <si>
    <t>02.01.2026</t>
  </si>
  <si>
    <t>Maggi</t>
  </si>
  <si>
    <t>Специи</t>
  </si>
  <si>
    <t>30.01.2026</t>
  </si>
  <si>
    <t>07.02.2026</t>
  </si>
  <si>
    <t>02.03.2026</t>
  </si>
  <si>
    <t>02.02.2026</t>
  </si>
  <si>
    <t>29.03.2026</t>
  </si>
  <si>
    <t>27.02.2026</t>
  </si>
  <si>
    <t>25.03.2026</t>
  </si>
  <si>
    <t>18.02.2026</t>
  </si>
  <si>
    <t>28.02.2026</t>
  </si>
  <si>
    <t>11.02.2026</t>
  </si>
  <si>
    <t>11.03.2026</t>
  </si>
  <si>
    <t>Беларусь</t>
  </si>
  <si>
    <t>20.03.2026</t>
  </si>
  <si>
    <t>31.03.2026</t>
  </si>
  <si>
    <t>16.02.2026</t>
  </si>
  <si>
    <t>20.02.2026</t>
  </si>
  <si>
    <t>24.02.2026</t>
  </si>
  <si>
    <t>21.03.2026</t>
  </si>
  <si>
    <t>07.01.2026</t>
  </si>
  <si>
    <t>08.02.2026</t>
  </si>
  <si>
    <t>18.01.2026</t>
  </si>
  <si>
    <t>04.01.2026</t>
  </si>
  <si>
    <t>05.03.2026</t>
  </si>
  <si>
    <t>14.01.2026</t>
  </si>
  <si>
    <t>09.01.2026</t>
  </si>
  <si>
    <t>19.03.2026</t>
  </si>
  <si>
    <t>28.03.2026</t>
  </si>
  <si>
    <t>13.02.2026</t>
  </si>
  <si>
    <t>08.01.2026</t>
  </si>
  <si>
    <t>04.02.2026</t>
  </si>
  <si>
    <t>27.03.2026</t>
  </si>
  <si>
    <t>05.02.2026</t>
  </si>
  <si>
    <t>19.02.2026</t>
  </si>
  <si>
    <t>06.01.2026</t>
  </si>
  <si>
    <t>23.02.2026</t>
  </si>
  <si>
    <t>16.03.2026</t>
  </si>
  <si>
    <t>03.02.2026</t>
  </si>
  <si>
    <t>14.03.2026</t>
  </si>
  <si>
    <t>17.02.2026</t>
  </si>
  <si>
    <t>06.03.2026</t>
  </si>
  <si>
    <t>04.03.2026</t>
  </si>
  <si>
    <t>09.02.2026</t>
  </si>
  <si>
    <t>26.01.2026</t>
  </si>
  <si>
    <t>26.03.2026</t>
  </si>
  <si>
    <t>10.02.2026</t>
  </si>
  <si>
    <t>29.01.2026</t>
  </si>
  <si>
    <t>14.02.2026</t>
  </si>
  <si>
    <t>23.03.2026</t>
  </si>
  <si>
    <t>01.01.2026</t>
  </si>
  <si>
    <t>24.03.2026</t>
  </si>
  <si>
    <t>11.01.2026</t>
  </si>
  <si>
    <t>05.01.2026</t>
  </si>
  <si>
    <t>28.01.2026</t>
  </si>
  <si>
    <t>07.03.2026</t>
  </si>
  <si>
    <t>12.01.2026</t>
  </si>
  <si>
    <t>23.01.2026</t>
  </si>
  <si>
    <t>15.03.2026</t>
  </si>
  <si>
    <t>06.02.2026</t>
  </si>
  <si>
    <t>18.03.2026</t>
  </si>
  <si>
    <t>27.01.2026</t>
  </si>
  <si>
    <t>12.02.2026</t>
  </si>
  <si>
    <t>13.01.2026</t>
  </si>
  <si>
    <t>01.02.2026</t>
  </si>
  <si>
    <t>26.02.2026</t>
  </si>
  <si>
    <t>План Q1 2026 (руб)</t>
  </si>
  <si>
    <t>% от плана</t>
  </si>
  <si>
    <t>Всего СНГ</t>
  </si>
  <si>
    <t xml:space="preserve">План </t>
  </si>
  <si>
    <t>Факт</t>
  </si>
  <si>
    <t>Отклонение</t>
  </si>
  <si>
    <t xml:space="preserve">% </t>
  </si>
  <si>
    <t>(Все)</t>
  </si>
  <si>
    <t>Топ-регион</t>
  </si>
  <si>
    <t>Сумма по полю Выручка</t>
  </si>
  <si>
    <t>Общий итог</t>
  </si>
  <si>
    <t>📊 Общая выручка</t>
  </si>
  <si>
    <t>🔝 Лучший регион по выручке</t>
  </si>
  <si>
    <t>План</t>
  </si>
  <si>
    <t>📈</t>
  </si>
  <si>
    <t>🔝 Топ-продукт</t>
  </si>
  <si>
    <t>🏆 Анализ продаж Mestle СНГ | 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</si>
</sst>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₽&quot;_-;\-* #,##0\ &quot;₽&quot;_-;_-* &quot;-&quot;\ &quot;₽&quot;_-;_-@_-"/>
    <numFmt numFmtId="164" formatCode="#,##0\ &quot;₽&quot;"/>
  </numFmts>
  <fonts count="10" x14ac:knownFonts="1">
    <font>
      <sz val="11"/>
      <color rgb="FF000000"/>
      <name val="Calibri"/>
    </font>
    <font>
      <sz val="14"/>
      <color rgb="FF000000"/>
      <name val="Calibri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</font>
    <font>
      <b/>
      <sz val="12"/>
      <color rgb="FF000000"/>
      <name val="Arial"/>
    </font>
    <font>
      <b/>
      <i/>
      <sz val="16"/>
      <color rgb="FF000000"/>
      <name val="Calibri"/>
      <scheme val="minor"/>
    </font>
    <font>
      <b/>
      <i/>
      <sz val="14"/>
      <color rgb="FF000000"/>
      <name val="Calibri"/>
      <family val="2"/>
      <charset val="204"/>
      <scheme val="minor"/>
    </font>
    <font>
      <sz val="20"/>
      <color theme="4"/>
      <name val="Verdana"/>
      <family val="2"/>
      <charset val="204"/>
    </font>
    <font>
      <sz val="12"/>
      <color rgb="FF000000"/>
      <name val="Verdan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2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applyAlignment="1">
      <alignment wrapText="1"/>
    </xf>
    <xf numFmtId="42" fontId="0" fillId="0" borderId="0" xfId="0" applyNumberFormat="1" applyAlignment="1">
      <alignment wrapText="1"/>
    </xf>
    <xf numFmtId="10" fontId="0" fillId="0" borderId="0" xfId="0" applyNumberFormat="1"/>
    <xf numFmtId="0" fontId="2" fillId="3" borderId="2" xfId="0" applyFont="1" applyFill="1" applyBorder="1"/>
    <xf numFmtId="0" fontId="3" fillId="0" borderId="2" xfId="0" applyFont="1" applyBorder="1"/>
    <xf numFmtId="9" fontId="3" fillId="0" borderId="2" xfId="0" applyNumberFormat="1" applyFont="1" applyBorder="1"/>
    <xf numFmtId="0" fontId="2" fillId="0" borderId="2" xfId="0" applyFont="1" applyBorder="1"/>
    <xf numFmtId="9" fontId="2" fillId="0" borderId="2" xfId="0" applyNumberFormat="1" applyFont="1" applyBorder="1"/>
    <xf numFmtId="0" fontId="4" fillId="4" borderId="0" xfId="0" applyFont="1" applyFill="1"/>
    <xf numFmtId="164" fontId="4" fillId="4" borderId="0" xfId="0" applyNumberFormat="1" applyFont="1" applyFill="1"/>
    <xf numFmtId="0" fontId="3" fillId="0" borderId="3" xfId="0" applyFont="1" applyBorder="1"/>
    <xf numFmtId="0" fontId="2" fillId="3" borderId="4" xfId="0" applyFont="1" applyFill="1" applyBorder="1"/>
    <xf numFmtId="164" fontId="2" fillId="3" borderId="5" xfId="0" applyNumberFormat="1" applyFont="1" applyFill="1" applyBorder="1"/>
    <xf numFmtId="0" fontId="2" fillId="3" borderId="5" xfId="0" applyFont="1" applyFill="1" applyBorder="1"/>
    <xf numFmtId="10" fontId="2" fillId="3" borderId="5" xfId="0" applyNumberFormat="1" applyFont="1" applyFill="1" applyBorder="1"/>
    <xf numFmtId="0" fontId="1" fillId="2" borderId="0" xfId="0" applyFont="1" applyFill="1" applyAlignment="1">
      <alignment horizontal="center"/>
    </xf>
    <xf numFmtId="42" fontId="1" fillId="2" borderId="0" xfId="0" applyNumberFormat="1" applyFont="1" applyFill="1"/>
    <xf numFmtId="164" fontId="1" fillId="2" borderId="0" xfId="0" applyNumberFormat="1" applyFont="1" applyFill="1"/>
    <xf numFmtId="10" fontId="1" fillId="2" borderId="0" xfId="0" applyNumberFormat="1" applyFont="1" applyFill="1" applyAlignment="1">
      <alignment wrapText="1"/>
    </xf>
    <xf numFmtId="164" fontId="2" fillId="3" borderId="2" xfId="0" applyNumberFormat="1" applyFont="1" applyFill="1" applyBorder="1"/>
    <xf numFmtId="164" fontId="3" fillId="0" borderId="2" xfId="0" applyNumberFormat="1" applyFont="1" applyBorder="1"/>
    <xf numFmtId="164" fontId="2" fillId="0" borderId="2" xfId="0" applyNumberFormat="1" applyFont="1" applyBorder="1"/>
    <xf numFmtId="0" fontId="0" fillId="0" borderId="6" xfId="0" pivotButton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pivotButton="1" applyBorder="1"/>
    <xf numFmtId="0" fontId="0" fillId="0" borderId="9" xfId="0" applyBorder="1"/>
    <xf numFmtId="0" fontId="0" fillId="0" borderId="10" xfId="0" applyBorder="1"/>
    <xf numFmtId="164" fontId="0" fillId="0" borderId="7" xfId="0" applyNumberFormat="1" applyBorder="1"/>
    <xf numFmtId="164" fontId="0" fillId="0" borderId="11" xfId="0" applyNumberFormat="1" applyBorder="1"/>
    <xf numFmtId="164" fontId="0" fillId="0" borderId="9" xfId="0" applyNumberFormat="1" applyBorder="1"/>
    <xf numFmtId="0" fontId="1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9" fillId="2" borderId="0" xfId="0" applyFont="1" applyFill="1"/>
    <xf numFmtId="42" fontId="9" fillId="2" borderId="0" xfId="0" applyNumberFormat="1" applyFont="1" applyFill="1"/>
    <xf numFmtId="164" fontId="9" fillId="2" borderId="0" xfId="0" applyNumberFormat="1" applyFont="1" applyFill="1"/>
    <xf numFmtId="10" fontId="9" fillId="2" borderId="0" xfId="0" applyNumberFormat="1" applyFont="1" applyFill="1" applyAlignment="1">
      <alignment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29">
    <dxf>
      <numFmt numFmtId="164" formatCode="#,##0\ &quot;₽&quot;"/>
    </dxf>
    <dxf>
      <numFmt numFmtId="2" formatCode="0.00"/>
    </dxf>
    <dxf>
      <numFmt numFmtId="164" formatCode="#,##0\ &quot;₽&quot;"/>
    </dxf>
    <dxf>
      <numFmt numFmtId="164" formatCode="#,##0\ &quot;₽&quot;"/>
    </dxf>
    <dxf>
      <numFmt numFmtId="2" formatCode="0.00"/>
    </dxf>
    <dxf>
      <numFmt numFmtId="164" formatCode="#,##0\ &quot;₽&quot;"/>
    </dxf>
    <dxf>
      <numFmt numFmtId="164" formatCode="#,##0\ &quot;₽&quot;"/>
    </dxf>
    <dxf>
      <numFmt numFmtId="2" formatCode="0.00"/>
    </dxf>
    <dxf>
      <numFmt numFmtId="164" formatCode="#,##0\ &quot;₽&quot;"/>
    </dxf>
    <dxf>
      <numFmt numFmtId="164" formatCode="#,##0\ &quot;₽&quot;"/>
    </dxf>
    <dxf>
      <numFmt numFmtId="2" formatCode="0.00"/>
    </dxf>
    <dxf>
      <numFmt numFmtId="164" formatCode="#,##0\ &quot;₽&quot;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#,##0\ &quot;₽&quot;"/>
    </dxf>
    <dxf>
      <numFmt numFmtId="2" formatCode="0.00"/>
    </dxf>
    <dxf>
      <numFmt numFmtId="164" formatCode="#,##0\ &quot;₽&quot;"/>
    </dxf>
    <dxf>
      <numFmt numFmtId="14" formatCode="0.00%"/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  <top style="thin">
          <color rgb="FFDDDDDD"/>
        </top>
      </border>
    </dxf>
    <dxf>
      <border outline="0">
        <bottom style="thin">
          <color rgb="FFDDDDDD"/>
        </bottom>
      </border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64" formatCode="#,##0\ &quot;₽&quot;"/>
      <fill>
        <patternFill patternType="solid">
          <fgColor indexed="64"/>
          <bgColor theme="0" tint="-0.14999847407452621"/>
        </patternFill>
      </fill>
    </dxf>
  </dxfs>
  <tableStyles count="0" defaultTableStyle="TableStyleMedium9"/>
  <colors>
    <mruColors>
      <color rgb="FF16CE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компании Mestle за Q1 2026.xlsx]Сводные!Сводная таблица2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Сводные!$B$4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Сводные!$A$5:$A$10</c:f>
              <c:strCache>
                <c:ptCount val="5"/>
                <c:pt idx="0">
                  <c:v>Несквик</c:v>
                </c:pt>
                <c:pt idx="1">
                  <c:v>Maggi</c:v>
                </c:pt>
                <c:pt idx="2">
                  <c:v>KitKat</c:v>
                </c:pt>
                <c:pt idx="3">
                  <c:v>Nido</c:v>
                </c:pt>
                <c:pt idx="4">
                  <c:v>Nescafe</c:v>
                </c:pt>
              </c:strCache>
            </c:strRef>
          </c:cat>
          <c:val>
            <c:numRef>
              <c:f>Сводные!$B$5:$B$10</c:f>
              <c:numCache>
                <c:formatCode>#\ ##0\ "₽"</c:formatCode>
                <c:ptCount val="5"/>
                <c:pt idx="0">
                  <c:v>718050</c:v>
                </c:pt>
                <c:pt idx="1">
                  <c:v>978000</c:v>
                </c:pt>
                <c:pt idx="2">
                  <c:v>1080320</c:v>
                </c:pt>
                <c:pt idx="3">
                  <c:v>1346100</c:v>
                </c:pt>
                <c:pt idx="4">
                  <c:v>5446000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3-4F89-B229-0EE605850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12040"/>
        <c:axId val="176814088"/>
      </c:lineChart>
      <c:catAx>
        <c:axId val="17681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4088"/>
        <c:crosses val="autoZero"/>
        <c:auto val="1"/>
        <c:lblAlgn val="ctr"/>
        <c:lblOffset val="100"/>
        <c:noMultiLvlLbl val="0"/>
      </c:catAx>
      <c:valAx>
        <c:axId val="17681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1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az-Cyrl-AZ" sz="1200" b="1">
                <a:latin typeface="Verdana" panose="020B0604030504040204" pitchFamily="34" charset="0"/>
                <a:ea typeface="Verdana" panose="020B0604030504040204" pitchFamily="34" charset="0"/>
              </a:rPr>
              <a:t>План-факт диаграмма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'План-Факт'!$B$1</c:f>
              <c:strCache>
                <c:ptCount val="1"/>
                <c:pt idx="0">
                  <c:v>План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'План-Факт'!$A$2:$A$7</c:f>
              <c:strCache>
                <c:ptCount val="6"/>
                <c:pt idx="0">
                  <c:v>Nescafe</c:v>
                </c:pt>
                <c:pt idx="1">
                  <c:v>KitKat</c:v>
                </c:pt>
                <c:pt idx="2">
                  <c:v>Maggi</c:v>
                </c:pt>
                <c:pt idx="3">
                  <c:v>Nido</c:v>
                </c:pt>
                <c:pt idx="4">
                  <c:v>Несквик</c:v>
                </c:pt>
                <c:pt idx="5">
                  <c:v>Всего СНГ</c:v>
                </c:pt>
              </c:strCache>
            </c:strRef>
          </c:cat>
          <c:val>
            <c:numRef>
              <c:f>'План-Факт'!$B$2:$B$7</c:f>
              <c:numCache>
                <c:formatCode>#\ ##0\ "₽"</c:formatCode>
                <c:ptCount val="6"/>
                <c:pt idx="0">
                  <c:v>3500000</c:v>
                </c:pt>
                <c:pt idx="1">
                  <c:v>2500000</c:v>
                </c:pt>
                <c:pt idx="2">
                  <c:v>1200000</c:v>
                </c:pt>
                <c:pt idx="3">
                  <c:v>800000</c:v>
                </c:pt>
                <c:pt idx="4">
                  <c:v>300000</c:v>
                </c:pt>
                <c:pt idx="5">
                  <c:v>8300000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9-4706-B469-5748B5ED4239}"/>
            </c:ext>
          </c:extLst>
        </c:ser>
        <c:ser>
          <c:idx val="1"/>
          <c:order val="1"/>
          <c:tx>
            <c:strRef>
              <c:f>'План-Факт'!$C$1</c:f>
              <c:strCache>
                <c:ptCount val="1"/>
                <c:pt idx="0">
                  <c:v>Факт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'План-Факт'!$A$2:$A$7</c:f>
              <c:strCache>
                <c:ptCount val="6"/>
                <c:pt idx="0">
                  <c:v>Nescafe</c:v>
                </c:pt>
                <c:pt idx="1">
                  <c:v>KitKat</c:v>
                </c:pt>
                <c:pt idx="2">
                  <c:v>Maggi</c:v>
                </c:pt>
                <c:pt idx="3">
                  <c:v>Nido</c:v>
                </c:pt>
                <c:pt idx="4">
                  <c:v>Несквик</c:v>
                </c:pt>
                <c:pt idx="5">
                  <c:v>Всего СНГ</c:v>
                </c:pt>
              </c:strCache>
            </c:strRef>
          </c:cat>
          <c:val>
            <c:numRef>
              <c:f>'План-Факт'!$C$2:$C$7</c:f>
              <c:numCache>
                <c:formatCode>#\ ##0\ "₽"</c:formatCode>
                <c:ptCount val="6"/>
                <c:pt idx="0">
                  <c:v>5446000</c:v>
                </c:pt>
                <c:pt idx="1">
                  <c:v>1080320</c:v>
                </c:pt>
                <c:pt idx="2">
                  <c:v>978000</c:v>
                </c:pt>
                <c:pt idx="3">
                  <c:v>1346100</c:v>
                </c:pt>
                <c:pt idx="4">
                  <c:v>718050</c:v>
                </c:pt>
                <c:pt idx="5">
                  <c:v>9568470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9-4706-B469-5748B5ED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639111"/>
        <c:axId val="358647815"/>
      </c:barChart>
      <c:lineChart>
        <c:grouping val="standard"/>
        <c:varyColors val="0"/>
        <c:ser>
          <c:idx val="2"/>
          <c:order val="2"/>
          <c:tx>
            <c:strRef>
              <c:f>'План-Факт'!$D$1</c:f>
              <c:strCache>
                <c:ptCount val="1"/>
                <c:pt idx="0">
                  <c:v>Отклонение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strRef>
              <c:f>'План-Факт'!$A$2:$A$7</c:f>
              <c:strCache>
                <c:ptCount val="6"/>
                <c:pt idx="0">
                  <c:v>Nescafe</c:v>
                </c:pt>
                <c:pt idx="1">
                  <c:v>KitKat</c:v>
                </c:pt>
                <c:pt idx="2">
                  <c:v>Maggi</c:v>
                </c:pt>
                <c:pt idx="3">
                  <c:v>Nido</c:v>
                </c:pt>
                <c:pt idx="4">
                  <c:v>Несквик</c:v>
                </c:pt>
                <c:pt idx="5">
                  <c:v>Всего СНГ</c:v>
                </c:pt>
              </c:strCache>
            </c:strRef>
          </c:cat>
          <c:val>
            <c:numRef>
              <c:f>'План-Факт'!$D$2:$D$7</c:f>
              <c:numCache>
                <c:formatCode>#\ ##0\ "₽"</c:formatCode>
                <c:ptCount val="6"/>
                <c:pt idx="0">
                  <c:v>1946000</c:v>
                </c:pt>
                <c:pt idx="1">
                  <c:v>-1419680</c:v>
                </c:pt>
                <c:pt idx="2">
                  <c:v>-222000</c:v>
                </c:pt>
                <c:pt idx="3">
                  <c:v>546100</c:v>
                </c:pt>
                <c:pt idx="4">
                  <c:v>418050</c:v>
                </c:pt>
                <c:pt idx="5">
                  <c:v>1268470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39-4706-B469-5748B5ED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639111"/>
        <c:axId val="358647815"/>
      </c:lineChart>
      <c:catAx>
        <c:axId val="35863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58647815"/>
        <c:crosses val="autoZero"/>
        <c:auto val="1"/>
        <c:lblAlgn val="ctr"/>
        <c:lblOffset val="100"/>
        <c:noMultiLvlLbl val="0"/>
      </c:catAx>
      <c:valAx>
        <c:axId val="358647815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35863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компании Mestle за Q1 2026.xlsx]Сводные!Сводная таблица3</c:name>
    <c:fmtId val="10"/>
  </c:pivotSource>
  <c:chart>
    <c:autoTitleDeleted val="1"/>
    <c:pivotFmts>
      <c:pivotFmt>
        <c:idx val="0"/>
        <c:spPr>
          <a:solidFill>
            <a:srgbClr val="76933C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/>
                  <a:ea typeface="Verdana"/>
                  <a:cs typeface="Verdana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/>
                  <a:ea typeface="Verdana"/>
                  <a:cs typeface="Verdana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/>
                  <a:ea typeface="Verdana"/>
                  <a:cs typeface="Verdana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693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/>
                  <a:ea typeface="Verdana"/>
                  <a:cs typeface="Verdana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4F6228"/>
            </a:solidFill>
            <a:prstDash val="solid"/>
          </a:ln>
          <a:effectLst/>
        </c:spPr>
        <c:marker>
          <c:symbol val="none"/>
        </c:marker>
        <c:dLbl>
          <c:idx val="0"/>
          <c:numFmt formatCode="#,##0\ &quot;₽&quot;" sourceLinked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chemeClr val="bg1"/>
                  </a:solidFill>
                  <a:latin typeface="Verdana"/>
                  <a:ea typeface="Verdana"/>
                  <a:cs typeface="Verdana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rgbClr val="4F6228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9525">
            <a:solidFill>
              <a:srgbClr val="4F6228"/>
            </a:solidFill>
            <a:prstDash val="solid"/>
          </a:ln>
          <a:effectLst/>
        </c:spPr>
        <c:dLbl>
          <c:idx val="0"/>
          <c:layout>
            <c:manualLayout>
              <c:x val="-6.4247940509799525E-2"/>
              <c:y val="0"/>
            </c:manualLayout>
          </c:layout>
          <c:numFmt formatCode="#,##0\ &quot;₽&quot;" sourceLinked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1" u="none" strike="noStrike" kern="1200" baseline="0">
                  <a:solidFill>
                    <a:schemeClr val="bg1"/>
                  </a:solidFill>
                  <a:latin typeface="Verdana"/>
                  <a:ea typeface="Verdana"/>
                  <a:cs typeface="Verdana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Сводные!$E$2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4F6228"/>
              </a:solidFill>
              <a:prstDash val="solid"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rgbClr val="4F6228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C8-4C40-817E-FF1C67134185}"/>
              </c:ext>
            </c:extLst>
          </c:dPt>
          <c:dLbls>
            <c:dLbl>
              <c:idx val="4"/>
              <c:layout>
                <c:manualLayout>
                  <c:x val="-6.424794050979952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C8-4C40-817E-FF1C67134185}"/>
                </c:ext>
              </c:extLst>
            </c:dLbl>
            <c:numFmt formatCode="#,##0\ &quot;₽&quot;" sourceLinked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chemeClr val="bg1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Сводные!$D$3:$D$8</c:f>
              <c:strCache>
                <c:ptCount val="5"/>
                <c:pt idx="0">
                  <c:v>Казахстан</c:v>
                </c:pt>
                <c:pt idx="1">
                  <c:v>Украина</c:v>
                </c:pt>
                <c:pt idx="2">
                  <c:v>Беларусь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Сводные!$E$3:$E$8</c:f>
              <c:numCache>
                <c:formatCode>#\ ##0\ "₽"</c:formatCode>
                <c:ptCount val="5"/>
                <c:pt idx="0">
                  <c:v>1101510</c:v>
                </c:pt>
                <c:pt idx="1">
                  <c:v>1192240</c:v>
                </c:pt>
                <c:pt idx="2">
                  <c:v>1260280</c:v>
                </c:pt>
                <c:pt idx="3">
                  <c:v>1686250</c:v>
                </c:pt>
                <c:pt idx="4">
                  <c:v>4328190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3-405F-984D-54178CC51B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8"/>
        <c:axId val="1952276487"/>
        <c:axId val="1952280583"/>
      </c:barChart>
      <c:catAx>
        <c:axId val="195227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4F6228"/>
            </a:solidFill>
            <a:prstDash val="solid"/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952280583"/>
        <c:crosses val="autoZero"/>
        <c:auto val="1"/>
        <c:lblAlgn val="ctr"/>
        <c:lblOffset val="100"/>
        <c:noMultiLvlLbl val="0"/>
      </c:catAx>
      <c:valAx>
        <c:axId val="1952280583"/>
        <c:scaling>
          <c:orientation val="minMax"/>
          <c:max val="4500000"/>
        </c:scaling>
        <c:delete val="1"/>
        <c:axPos val="b"/>
        <c:numFmt formatCode="#\ ##0\ &quot;₽&quot;" sourceLinked="1"/>
        <c:majorTickMark val="none"/>
        <c:minorTickMark val="none"/>
        <c:tickLblPos val="nextTo"/>
        <c:crossAx val="1952276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компании Mestle за Q1 2026.xlsx]Сводные!Сводная таблица2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numFmt formatCode="#,##0\ &quot;₽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ru-RU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Сводные!$A$5:$A$10</c:f>
              <c:strCache>
                <c:ptCount val="5"/>
                <c:pt idx="0">
                  <c:v>Несквик</c:v>
                </c:pt>
                <c:pt idx="1">
                  <c:v>Maggi</c:v>
                </c:pt>
                <c:pt idx="2">
                  <c:v>KitKat</c:v>
                </c:pt>
                <c:pt idx="3">
                  <c:v>Nido</c:v>
                </c:pt>
                <c:pt idx="4">
                  <c:v>Nescafe</c:v>
                </c:pt>
              </c:strCache>
            </c:strRef>
          </c:cat>
          <c:val>
            <c:numRef>
              <c:f>Сводные!$B$5:$B$10</c:f>
              <c:numCache>
                <c:formatCode>#\ ##0\ "₽"</c:formatCode>
                <c:ptCount val="5"/>
                <c:pt idx="0">
                  <c:v>718050</c:v>
                </c:pt>
                <c:pt idx="1">
                  <c:v>978000</c:v>
                </c:pt>
                <c:pt idx="2">
                  <c:v>1080320</c:v>
                </c:pt>
                <c:pt idx="3">
                  <c:v>1346100</c:v>
                </c:pt>
                <c:pt idx="4">
                  <c:v>5446000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1-4BBB-B45A-76B929B662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963718664"/>
        <c:axId val="2023649800"/>
      </c:barChart>
      <c:catAx>
        <c:axId val="196371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2023649800"/>
        <c:crosses val="autoZero"/>
        <c:auto val="1"/>
        <c:lblAlgn val="ctr"/>
        <c:lblOffset val="100"/>
        <c:noMultiLvlLbl val="0"/>
      </c:catAx>
      <c:valAx>
        <c:axId val="2023649800"/>
        <c:scaling>
          <c:orientation val="minMax"/>
          <c:min val="0"/>
        </c:scaling>
        <c:delete val="1"/>
        <c:axPos val="l"/>
        <c:numFmt formatCode="#,##0\ &quot;₽&quot;" sourceLinked="0"/>
        <c:majorTickMark val="none"/>
        <c:minorTickMark val="none"/>
        <c:tickLblPos val="nextTo"/>
        <c:crossAx val="1963718664"/>
        <c:crosses val="autoZero"/>
        <c:crossBetween val="between"/>
        <c:majorUnit val="500000"/>
        <c:min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компании Mestle за Q1 2026.xlsx]Сводные!Сводная таблица3</c:name>
    <c:fmtId val="15"/>
  </c:pivotSource>
  <c:chart>
    <c:autoTitleDeleted val="1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1899042549258807"/>
                  <c:h val="0.12620672226434168"/>
                </c:manualLayout>
              </c15:layout>
            </c:ext>
          </c:extLst>
        </c:dLbl>
      </c:pivotFmt>
      <c:pivotFmt>
        <c:idx val="2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00791556728232"/>
                  <c:h val="0.1815911079296906"/>
                </c:manualLayout>
              </c15:layout>
            </c:ext>
          </c:extLst>
        </c:dLbl>
      </c:pivotFmt>
      <c:pivotFmt>
        <c:idx val="2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Сводные!$E$2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45-4D31-BF1A-387D922B6CC1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45-4D31-BF1A-387D922B6CC1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45-4D31-BF1A-387D922B6CC1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45-4D31-BF1A-387D922B6CC1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45-4D31-BF1A-387D922B6CC1}"/>
              </c:ext>
            </c:extLst>
          </c:dPt>
          <c:dLbls>
            <c:dLbl>
              <c:idx val="0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899042549258807"/>
                      <c:h val="0.126206722264341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245-4D31-BF1A-387D922B6CC1}"/>
                </c:ext>
              </c:extLst>
            </c:dLbl>
            <c:dLbl>
              <c:idx val="3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00791556728232"/>
                      <c:h val="0.18159110792969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245-4D31-BF1A-387D922B6C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Сводные!$D$3:$D$8</c:f>
              <c:strCache>
                <c:ptCount val="5"/>
                <c:pt idx="0">
                  <c:v>Казахстан</c:v>
                </c:pt>
                <c:pt idx="1">
                  <c:v>Украина</c:v>
                </c:pt>
                <c:pt idx="2">
                  <c:v>Беларусь</c:v>
                </c:pt>
                <c:pt idx="3">
                  <c:v>Узбекистан</c:v>
                </c:pt>
                <c:pt idx="4">
                  <c:v>Россия</c:v>
                </c:pt>
              </c:strCache>
            </c:strRef>
          </c:cat>
          <c:val>
            <c:numRef>
              <c:f>Сводные!$E$3:$E$8</c:f>
              <c:numCache>
                <c:formatCode>#\ ##0\ "₽"</c:formatCode>
                <c:ptCount val="5"/>
                <c:pt idx="0">
                  <c:v>1101510</c:v>
                </c:pt>
                <c:pt idx="1">
                  <c:v>1192240</c:v>
                </c:pt>
                <c:pt idx="2">
                  <c:v>1260280</c:v>
                </c:pt>
                <c:pt idx="3">
                  <c:v>1686250</c:v>
                </c:pt>
                <c:pt idx="4">
                  <c:v>4328190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45-4D31-BF1A-387D922B6CC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28</xdr:row>
      <xdr:rowOff>66675</xdr:rowOff>
    </xdr:from>
    <xdr:to>
      <xdr:col>13</xdr:col>
      <xdr:colOff>514350</xdr:colOff>
      <xdr:row>42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EC83C44-C8A8-68A3-391E-8830A496086E}"/>
            </a:ext>
            <a:ext uri="{147F2762-F138-4A5C-976F-8EAC2B608ADB}">
              <a16:predDERef xmlns:a16="http://schemas.microsoft.com/office/drawing/2014/main" pred="{90B52D1F-613B-C754-4FBD-43D3454BC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49530</xdr:rowOff>
    </xdr:from>
    <xdr:to>
      <xdr:col>2</xdr:col>
      <xdr:colOff>228600</xdr:colOff>
      <xdr:row>22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0C40F01-A2D6-48D5-B536-574C26B31800}"/>
            </a:ext>
            <a:ext uri="{147F2762-F138-4A5C-976F-8EAC2B608ADB}">
              <a16:predDERef xmlns:a16="http://schemas.microsoft.com/office/drawing/2014/main" pred="{F002FE76-BC70-40B0-A769-AF76A444B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45722</xdr:colOff>
      <xdr:row>3</xdr:row>
      <xdr:rowOff>22860</xdr:rowOff>
    </xdr:from>
    <xdr:to>
      <xdr:col>5</xdr:col>
      <xdr:colOff>297180</xdr:colOff>
      <xdr:row>21</xdr:row>
      <xdr:rowOff>70485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8ABED81-D59B-4C4C-B92B-992F504AA947}"/>
            </a:ext>
            <a:ext uri="{147F2762-F138-4A5C-976F-8EAC2B608ADB}">
              <a16:predDERef xmlns:a16="http://schemas.microsoft.com/office/drawing/2014/main" pred="{C84C71B9-DE7B-4672-AD69-59E09E53C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1318260</xdr:colOff>
      <xdr:row>3</xdr:row>
      <xdr:rowOff>7620</xdr:rowOff>
    </xdr:from>
    <xdr:to>
      <xdr:col>10</xdr:col>
      <xdr:colOff>0</xdr:colOff>
      <xdr:row>21</xdr:row>
      <xdr:rowOff>169545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002FE76-BC70-40B0-A769-AF76A444BFDF}"/>
            </a:ext>
            <a:ext uri="{147F2762-F138-4A5C-976F-8EAC2B608ADB}">
              <a16:predDERef xmlns:a16="http://schemas.microsoft.com/office/drawing/2014/main" pred="{58ABED81-D59B-4C4C-B92B-992F504AA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2438400</xdr:colOff>
      <xdr:row>7</xdr:row>
      <xdr:rowOff>175260</xdr:rowOff>
    </xdr:from>
    <xdr:to>
      <xdr:col>5</xdr:col>
      <xdr:colOff>7620</xdr:colOff>
      <xdr:row>21</xdr:row>
      <xdr:rowOff>129540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1D02D6E-4404-4DFF-ACA1-8183B3635411}"/>
            </a:ext>
            <a:ext uri="{147F2762-F138-4A5C-976F-8EAC2B608ADB}">
              <a16:predDERef xmlns:a16="http://schemas.microsoft.com/office/drawing/2014/main" pred="{20C40F01-A2D6-48D5-B536-574C26B3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106680</xdr:colOff>
      <xdr:row>3</xdr:row>
      <xdr:rowOff>198120</xdr:rowOff>
    </xdr:from>
    <xdr:to>
      <xdr:col>6</xdr:col>
      <xdr:colOff>167640</xdr:colOff>
      <xdr:row>9</xdr:row>
      <xdr:rowOff>175259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Месяц">
              <a:extLst>
                <a:ext uri="{FF2B5EF4-FFF2-40B4-BE49-F238E27FC236}">
                  <a16:creationId xmlns:a16="http://schemas.microsoft.com/office/drawing/2014/main" id="{E47B0606-FCB3-D08E-5707-2BA3A6F6BE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4920" y="1424940"/>
              <a:ext cx="1394460" cy="1165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738341782409" createdVersion="8" refreshedVersion="8" minRefreshableVersion="3" recordCount="200" xr:uid="{A373328D-F7D8-4366-B648-16A2044D4B38}">
  <cacheSource type="worksheet">
    <worksheetSource ref="A2:K202" sheet="Данные"/>
  </cacheSource>
  <cacheFields count="11">
    <cacheField name="Дата" numFmtId="0">
      <sharedItems/>
    </cacheField>
    <cacheField name="Продукт" numFmtId="0">
      <sharedItems count="5">
        <s v="KitKat"/>
        <s v="Nescafe"/>
        <s v="Несквик"/>
        <s v="Maggi"/>
        <s v="Nido"/>
      </sharedItems>
    </cacheField>
    <cacheField name="Категория" numFmtId="0">
      <sharedItems count="5">
        <s v="Шоколад"/>
        <s v="Кофе"/>
        <s v="Какао"/>
        <s v="Специи"/>
        <s v="Молоко"/>
      </sharedItems>
    </cacheField>
    <cacheField name="Регион" numFmtId="0">
      <sharedItems count="5">
        <s v="Россия"/>
        <s v="Казахстан"/>
        <s v="Беларусь"/>
        <s v="Украина"/>
        <s v="Узбекистан"/>
      </sharedItems>
    </cacheField>
    <cacheField name="Объем (уп)" numFmtId="0">
      <sharedItems containsSemiMixedTypes="0" containsString="0" containsNumber="1" containsInteger="1" minValue="50" maxValue="499"/>
    </cacheField>
    <cacheField name="Цена" numFmtId="42">
      <sharedItems containsSemiMixedTypes="0" containsString="0" containsNumber="1" containsInteger="1" minValue="80" maxValue="300"/>
    </cacheField>
    <cacheField name="Себестоимость" numFmtId="42">
      <sharedItems containsSemiMixedTypes="0" containsString="0" containsNumber="1" containsInteger="1" minValue="48" maxValue="180"/>
    </cacheField>
    <cacheField name="Выручка" numFmtId="42">
      <sharedItems containsSemiMixedTypes="0" containsString="0" containsNumber="1" containsInteger="1" minValue="4000" maxValue="145200"/>
    </cacheField>
    <cacheField name="Маржа" numFmtId="42">
      <sharedItems containsSemiMixedTypes="0" containsString="0" containsNumber="1" containsInteger="1" minValue="1600" maxValue="58080"/>
    </cacheField>
    <cacheField name="Месяц" numFmtId="0">
      <sharedItems count="3">
        <s v="Февраль"/>
        <s v="Январь"/>
        <s v="Март"/>
      </sharedItems>
    </cacheField>
    <cacheField name="Менеджер" numFmtId="0">
      <sharedItems count="4">
        <s v="Петрова"/>
        <s v="Сидоров"/>
        <s v="Кузнецова"/>
        <s v="Иванов"/>
      </sharedItems>
    </cacheField>
  </cacheFields>
  <extLst>
    <ext xmlns:x14="http://schemas.microsoft.com/office/spreadsheetml/2009/9/main" uri="{725AE2AE-9491-48be-B2B4-4EB974FC3084}">
      <x14:pivotCacheDefinition pivotCacheId="15240796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1.02.2026"/>
    <x v="0"/>
    <x v="0"/>
    <x v="0"/>
    <n v="495"/>
    <n v="80"/>
    <n v="48"/>
    <n v="39600"/>
    <n v="15840"/>
    <x v="0"/>
    <x v="0"/>
  </r>
  <r>
    <s v="15.01.2026"/>
    <x v="1"/>
    <x v="1"/>
    <x v="0"/>
    <n v="498"/>
    <n v="250"/>
    <n v="150"/>
    <n v="124500"/>
    <n v="49800"/>
    <x v="1"/>
    <x v="0"/>
  </r>
  <r>
    <s v="13.03.2026"/>
    <x v="1"/>
    <x v="1"/>
    <x v="0"/>
    <n v="418"/>
    <n v="250"/>
    <n v="150"/>
    <n v="104500"/>
    <n v="41800"/>
    <x v="2"/>
    <x v="1"/>
  </r>
  <r>
    <s v="02.03.2026"/>
    <x v="1"/>
    <x v="1"/>
    <x v="1"/>
    <n v="337"/>
    <n v="250"/>
    <n v="150"/>
    <n v="84250"/>
    <n v="33700"/>
    <x v="2"/>
    <x v="2"/>
  </r>
  <r>
    <s v="21.01.2026"/>
    <x v="0"/>
    <x v="0"/>
    <x v="1"/>
    <n v="83"/>
    <n v="80"/>
    <n v="48"/>
    <n v="6640"/>
    <n v="2656"/>
    <x v="1"/>
    <x v="2"/>
  </r>
  <r>
    <s v="24.03.2026"/>
    <x v="0"/>
    <x v="0"/>
    <x v="0"/>
    <n v="397"/>
    <n v="80"/>
    <n v="48"/>
    <n v="31760"/>
    <n v="12704"/>
    <x v="2"/>
    <x v="3"/>
  </r>
  <r>
    <s v="28.03.2026"/>
    <x v="1"/>
    <x v="1"/>
    <x v="0"/>
    <n v="144"/>
    <n v="250"/>
    <n v="150"/>
    <n v="36000"/>
    <n v="14400"/>
    <x v="2"/>
    <x v="2"/>
  </r>
  <r>
    <s v="16.03.2026"/>
    <x v="1"/>
    <x v="1"/>
    <x v="1"/>
    <n v="121"/>
    <n v="250"/>
    <n v="150"/>
    <n v="30250"/>
    <n v="12100"/>
    <x v="2"/>
    <x v="1"/>
  </r>
  <r>
    <s v="16.03.2026"/>
    <x v="2"/>
    <x v="2"/>
    <x v="1"/>
    <n v="88"/>
    <n v="150"/>
    <n v="90"/>
    <n v="13200"/>
    <n v="5280"/>
    <x v="2"/>
    <x v="0"/>
  </r>
  <r>
    <s v="29.03.2026"/>
    <x v="1"/>
    <x v="1"/>
    <x v="2"/>
    <n v="203"/>
    <n v="250"/>
    <n v="150"/>
    <n v="50750"/>
    <n v="20300"/>
    <x v="2"/>
    <x v="3"/>
  </r>
  <r>
    <s v="24.01.2026"/>
    <x v="1"/>
    <x v="1"/>
    <x v="3"/>
    <n v="299"/>
    <n v="250"/>
    <n v="150"/>
    <n v="74750"/>
    <n v="29900"/>
    <x v="1"/>
    <x v="3"/>
  </r>
  <r>
    <s v="03.01.2026"/>
    <x v="0"/>
    <x v="0"/>
    <x v="0"/>
    <n v="211"/>
    <n v="80"/>
    <n v="48"/>
    <n v="16880"/>
    <n v="6752"/>
    <x v="1"/>
    <x v="0"/>
  </r>
  <r>
    <s v="22.01.2026"/>
    <x v="2"/>
    <x v="2"/>
    <x v="0"/>
    <n v="487"/>
    <n v="150"/>
    <n v="90"/>
    <n v="73050"/>
    <n v="29220"/>
    <x v="1"/>
    <x v="2"/>
  </r>
  <r>
    <s v="22.02.2026"/>
    <x v="1"/>
    <x v="1"/>
    <x v="1"/>
    <n v="167"/>
    <n v="250"/>
    <n v="150"/>
    <n v="41750"/>
    <n v="16700"/>
    <x v="0"/>
    <x v="0"/>
  </r>
  <r>
    <s v="02.01.2026"/>
    <x v="3"/>
    <x v="3"/>
    <x v="0"/>
    <n v="308"/>
    <n v="120"/>
    <n v="72"/>
    <n v="36960"/>
    <n v="14784"/>
    <x v="1"/>
    <x v="2"/>
  </r>
  <r>
    <s v="29.03.2026"/>
    <x v="3"/>
    <x v="3"/>
    <x v="1"/>
    <n v="428"/>
    <n v="120"/>
    <n v="72"/>
    <n v="51360"/>
    <n v="20544"/>
    <x v="2"/>
    <x v="0"/>
  </r>
  <r>
    <s v="30.01.2026"/>
    <x v="1"/>
    <x v="1"/>
    <x v="4"/>
    <n v="355"/>
    <n v="250"/>
    <n v="150"/>
    <n v="88750"/>
    <n v="35500"/>
    <x v="1"/>
    <x v="1"/>
  </r>
  <r>
    <s v="07.02.2026"/>
    <x v="3"/>
    <x v="3"/>
    <x v="1"/>
    <n v="317"/>
    <n v="120"/>
    <n v="72"/>
    <n v="38040"/>
    <n v="15216"/>
    <x v="0"/>
    <x v="2"/>
  </r>
  <r>
    <s v="02.01.2026"/>
    <x v="1"/>
    <x v="1"/>
    <x v="0"/>
    <n v="498"/>
    <n v="250"/>
    <n v="150"/>
    <n v="124500"/>
    <n v="49800"/>
    <x v="1"/>
    <x v="1"/>
  </r>
  <r>
    <s v="05.03.2026"/>
    <x v="0"/>
    <x v="0"/>
    <x v="1"/>
    <n v="103"/>
    <n v="80"/>
    <n v="48"/>
    <n v="8240"/>
    <n v="3296"/>
    <x v="2"/>
    <x v="3"/>
  </r>
  <r>
    <s v="01.03.2026"/>
    <x v="0"/>
    <x v="0"/>
    <x v="0"/>
    <n v="285"/>
    <n v="80"/>
    <n v="48"/>
    <n v="22800"/>
    <n v="9120"/>
    <x v="2"/>
    <x v="0"/>
  </r>
  <r>
    <s v="21.01.2026"/>
    <x v="0"/>
    <x v="0"/>
    <x v="1"/>
    <n v="438"/>
    <n v="80"/>
    <n v="48"/>
    <n v="35040"/>
    <n v="14016"/>
    <x v="1"/>
    <x v="3"/>
  </r>
  <r>
    <s v="02.02.2026"/>
    <x v="1"/>
    <x v="1"/>
    <x v="4"/>
    <n v="271"/>
    <n v="250"/>
    <n v="150"/>
    <n v="67750"/>
    <n v="27100"/>
    <x v="0"/>
    <x v="3"/>
  </r>
  <r>
    <s v="17.03.2026"/>
    <x v="4"/>
    <x v="4"/>
    <x v="0"/>
    <n v="300"/>
    <n v="300"/>
    <n v="180"/>
    <n v="90000"/>
    <n v="36000"/>
    <x v="2"/>
    <x v="3"/>
  </r>
  <r>
    <s v="27.02.2026"/>
    <x v="1"/>
    <x v="1"/>
    <x v="4"/>
    <n v="362"/>
    <n v="250"/>
    <n v="150"/>
    <n v="90500"/>
    <n v="36200"/>
    <x v="0"/>
    <x v="3"/>
  </r>
  <r>
    <s v="22.01.2026"/>
    <x v="1"/>
    <x v="1"/>
    <x v="4"/>
    <n v="450"/>
    <n v="250"/>
    <n v="150"/>
    <n v="112500"/>
    <n v="45000"/>
    <x v="1"/>
    <x v="0"/>
  </r>
  <r>
    <s v="30.03.2026"/>
    <x v="1"/>
    <x v="1"/>
    <x v="0"/>
    <n v="161"/>
    <n v="250"/>
    <n v="150"/>
    <n v="40250"/>
    <n v="16100"/>
    <x v="2"/>
    <x v="3"/>
  </r>
  <r>
    <s v="18.02.2026"/>
    <x v="0"/>
    <x v="0"/>
    <x v="0"/>
    <n v="304"/>
    <n v="80"/>
    <n v="48"/>
    <n v="24320"/>
    <n v="9728"/>
    <x v="0"/>
    <x v="0"/>
  </r>
  <r>
    <s v="28.02.2026"/>
    <x v="3"/>
    <x v="3"/>
    <x v="0"/>
    <n v="352"/>
    <n v="120"/>
    <n v="72"/>
    <n v="42240"/>
    <n v="16896"/>
    <x v="0"/>
    <x v="0"/>
  </r>
  <r>
    <s v="11.02.2026"/>
    <x v="1"/>
    <x v="1"/>
    <x v="0"/>
    <n v="456"/>
    <n v="250"/>
    <n v="150"/>
    <n v="114000"/>
    <n v="45600"/>
    <x v="0"/>
    <x v="1"/>
  </r>
  <r>
    <s v="01.03.2026"/>
    <x v="0"/>
    <x v="0"/>
    <x v="0"/>
    <n v="256"/>
    <n v="80"/>
    <n v="48"/>
    <n v="20480"/>
    <n v="8192"/>
    <x v="2"/>
    <x v="2"/>
  </r>
  <r>
    <s v="21.03.2026"/>
    <x v="1"/>
    <x v="1"/>
    <x v="3"/>
    <n v="278"/>
    <n v="250"/>
    <n v="150"/>
    <n v="69500"/>
    <n v="27800"/>
    <x v="2"/>
    <x v="2"/>
  </r>
  <r>
    <s v="15.01.2026"/>
    <x v="0"/>
    <x v="0"/>
    <x v="0"/>
    <n v="390"/>
    <n v="80"/>
    <n v="48"/>
    <n v="31200"/>
    <n v="12480"/>
    <x v="1"/>
    <x v="0"/>
  </r>
  <r>
    <s v="03.03.2026"/>
    <x v="1"/>
    <x v="1"/>
    <x v="0"/>
    <n v="447"/>
    <n v="250"/>
    <n v="150"/>
    <n v="111750"/>
    <n v="44700"/>
    <x v="2"/>
    <x v="1"/>
  </r>
  <r>
    <s v="03.03.2026"/>
    <x v="3"/>
    <x v="3"/>
    <x v="2"/>
    <n v="115"/>
    <n v="120"/>
    <n v="72"/>
    <n v="13800"/>
    <n v="5520"/>
    <x v="2"/>
    <x v="0"/>
  </r>
  <r>
    <s v="16.02.2026"/>
    <x v="1"/>
    <x v="1"/>
    <x v="0"/>
    <n v="124"/>
    <n v="250"/>
    <n v="150"/>
    <n v="31000"/>
    <n v="12400"/>
    <x v="0"/>
    <x v="0"/>
  </r>
  <r>
    <s v="03.03.2026"/>
    <x v="2"/>
    <x v="2"/>
    <x v="2"/>
    <n v="484"/>
    <n v="150"/>
    <n v="90"/>
    <n v="72600"/>
    <n v="29040"/>
    <x v="2"/>
    <x v="0"/>
  </r>
  <r>
    <s v="20.02.2026"/>
    <x v="1"/>
    <x v="1"/>
    <x v="0"/>
    <n v="152"/>
    <n v="250"/>
    <n v="150"/>
    <n v="38000"/>
    <n v="15200"/>
    <x v="0"/>
    <x v="1"/>
  </r>
  <r>
    <s v="24.02.2026"/>
    <x v="1"/>
    <x v="1"/>
    <x v="0"/>
    <n v="471"/>
    <n v="250"/>
    <n v="150"/>
    <n v="117750"/>
    <n v="47100"/>
    <x v="0"/>
    <x v="2"/>
  </r>
  <r>
    <s v="05.03.2026"/>
    <x v="1"/>
    <x v="1"/>
    <x v="3"/>
    <n v="241"/>
    <n v="250"/>
    <n v="150"/>
    <n v="60250"/>
    <n v="24100"/>
    <x v="2"/>
    <x v="1"/>
  </r>
  <r>
    <s v="03.01.2026"/>
    <x v="2"/>
    <x v="2"/>
    <x v="1"/>
    <n v="301"/>
    <n v="150"/>
    <n v="90"/>
    <n v="45150"/>
    <n v="18060"/>
    <x v="1"/>
    <x v="3"/>
  </r>
  <r>
    <s v="20.02.2026"/>
    <x v="4"/>
    <x v="4"/>
    <x v="2"/>
    <n v="275"/>
    <n v="300"/>
    <n v="180"/>
    <n v="82500"/>
    <n v="33000"/>
    <x v="0"/>
    <x v="1"/>
  </r>
  <r>
    <s v="07.01.2026"/>
    <x v="1"/>
    <x v="1"/>
    <x v="3"/>
    <n v="343"/>
    <n v="250"/>
    <n v="150"/>
    <n v="85750"/>
    <n v="34300"/>
    <x v="1"/>
    <x v="1"/>
  </r>
  <r>
    <s v="21.01.2026"/>
    <x v="3"/>
    <x v="3"/>
    <x v="2"/>
    <n v="355"/>
    <n v="120"/>
    <n v="72"/>
    <n v="42600"/>
    <n v="17040"/>
    <x v="1"/>
    <x v="1"/>
  </r>
  <r>
    <s v="14.03.2026"/>
    <x v="4"/>
    <x v="4"/>
    <x v="0"/>
    <n v="147"/>
    <n v="300"/>
    <n v="180"/>
    <n v="44100"/>
    <n v="17640"/>
    <x v="2"/>
    <x v="1"/>
  </r>
  <r>
    <s v="08.02.2026"/>
    <x v="0"/>
    <x v="0"/>
    <x v="0"/>
    <n v="387"/>
    <n v="80"/>
    <n v="48"/>
    <n v="30960"/>
    <n v="12384"/>
    <x v="0"/>
    <x v="2"/>
  </r>
  <r>
    <s v="18.01.2026"/>
    <x v="0"/>
    <x v="0"/>
    <x v="3"/>
    <n v="335"/>
    <n v="80"/>
    <n v="48"/>
    <n v="26800"/>
    <n v="10720"/>
    <x v="1"/>
    <x v="3"/>
  </r>
  <r>
    <s v="04.01.2026"/>
    <x v="1"/>
    <x v="1"/>
    <x v="2"/>
    <n v="384"/>
    <n v="250"/>
    <n v="150"/>
    <n v="96000"/>
    <n v="38400"/>
    <x v="1"/>
    <x v="2"/>
  </r>
  <r>
    <s v="30.03.2026"/>
    <x v="1"/>
    <x v="1"/>
    <x v="4"/>
    <n v="396"/>
    <n v="250"/>
    <n v="150"/>
    <n v="99000"/>
    <n v="39600"/>
    <x v="2"/>
    <x v="2"/>
  </r>
  <r>
    <s v="01.03.2026"/>
    <x v="4"/>
    <x v="4"/>
    <x v="0"/>
    <n v="484"/>
    <n v="300"/>
    <n v="180"/>
    <n v="145200"/>
    <n v="58080"/>
    <x v="2"/>
    <x v="1"/>
  </r>
  <r>
    <s v="14.01.2026"/>
    <x v="2"/>
    <x v="2"/>
    <x v="0"/>
    <n v="496"/>
    <n v="150"/>
    <n v="90"/>
    <n v="74400"/>
    <n v="29760"/>
    <x v="1"/>
    <x v="0"/>
  </r>
  <r>
    <s v="09.01.2026"/>
    <x v="0"/>
    <x v="0"/>
    <x v="3"/>
    <n v="357"/>
    <n v="80"/>
    <n v="48"/>
    <n v="28560"/>
    <n v="11424"/>
    <x v="1"/>
    <x v="0"/>
  </r>
  <r>
    <s v="31.03.2026"/>
    <x v="1"/>
    <x v="1"/>
    <x v="0"/>
    <n v="298"/>
    <n v="250"/>
    <n v="150"/>
    <n v="74500"/>
    <n v="29800"/>
    <x v="2"/>
    <x v="2"/>
  </r>
  <r>
    <s v="22.02.2026"/>
    <x v="1"/>
    <x v="1"/>
    <x v="4"/>
    <n v="215"/>
    <n v="250"/>
    <n v="150"/>
    <n v="53750"/>
    <n v="21500"/>
    <x v="0"/>
    <x v="2"/>
  </r>
  <r>
    <s v="02.01.2026"/>
    <x v="3"/>
    <x v="3"/>
    <x v="2"/>
    <n v="384"/>
    <n v="120"/>
    <n v="72"/>
    <n v="46080"/>
    <n v="18432"/>
    <x v="1"/>
    <x v="1"/>
  </r>
  <r>
    <s v="25.03.2026"/>
    <x v="4"/>
    <x v="4"/>
    <x v="0"/>
    <n v="79"/>
    <n v="300"/>
    <n v="180"/>
    <n v="23700"/>
    <n v="9480"/>
    <x v="2"/>
    <x v="2"/>
  </r>
  <r>
    <s v="01.03.2026"/>
    <x v="4"/>
    <x v="4"/>
    <x v="3"/>
    <n v="296"/>
    <n v="300"/>
    <n v="180"/>
    <n v="88800"/>
    <n v="35520"/>
    <x v="2"/>
    <x v="1"/>
  </r>
  <r>
    <s v="12.03.2026"/>
    <x v="3"/>
    <x v="3"/>
    <x v="3"/>
    <n v="155"/>
    <n v="120"/>
    <n v="72"/>
    <n v="18600"/>
    <n v="7440"/>
    <x v="2"/>
    <x v="0"/>
  </r>
  <r>
    <s v="13.02.2026"/>
    <x v="0"/>
    <x v="0"/>
    <x v="0"/>
    <n v="100"/>
    <n v="80"/>
    <n v="48"/>
    <n v="8000"/>
    <n v="3200"/>
    <x v="0"/>
    <x v="0"/>
  </r>
  <r>
    <s v="08.01.2026"/>
    <x v="1"/>
    <x v="1"/>
    <x v="4"/>
    <n v="130"/>
    <n v="250"/>
    <n v="150"/>
    <n v="32500"/>
    <n v="13000"/>
    <x v="1"/>
    <x v="3"/>
  </r>
  <r>
    <s v="16.02.2026"/>
    <x v="1"/>
    <x v="1"/>
    <x v="1"/>
    <n v="182"/>
    <n v="250"/>
    <n v="150"/>
    <n v="45500"/>
    <n v="18200"/>
    <x v="0"/>
    <x v="0"/>
  </r>
  <r>
    <s v="04.02.2026"/>
    <x v="4"/>
    <x v="4"/>
    <x v="2"/>
    <n v="334"/>
    <n v="300"/>
    <n v="180"/>
    <n v="100200"/>
    <n v="40080"/>
    <x v="0"/>
    <x v="2"/>
  </r>
  <r>
    <s v="19.03.2026"/>
    <x v="0"/>
    <x v="0"/>
    <x v="0"/>
    <n v="437"/>
    <n v="80"/>
    <n v="48"/>
    <n v="34960"/>
    <n v="13984"/>
    <x v="2"/>
    <x v="0"/>
  </r>
  <r>
    <s v="22.03.2026"/>
    <x v="1"/>
    <x v="1"/>
    <x v="2"/>
    <n v="187"/>
    <n v="250"/>
    <n v="150"/>
    <n v="46750"/>
    <n v="18700"/>
    <x v="2"/>
    <x v="1"/>
  </r>
  <r>
    <s v="05.02.2026"/>
    <x v="1"/>
    <x v="1"/>
    <x v="0"/>
    <n v="233"/>
    <n v="250"/>
    <n v="150"/>
    <n v="58250"/>
    <n v="23300"/>
    <x v="0"/>
    <x v="0"/>
  </r>
  <r>
    <s v="19.02.2026"/>
    <x v="3"/>
    <x v="3"/>
    <x v="0"/>
    <n v="450"/>
    <n v="120"/>
    <n v="72"/>
    <n v="54000"/>
    <n v="21600"/>
    <x v="0"/>
    <x v="3"/>
  </r>
  <r>
    <s v="04.01.2026"/>
    <x v="1"/>
    <x v="1"/>
    <x v="4"/>
    <n v="379"/>
    <n v="250"/>
    <n v="150"/>
    <n v="94750"/>
    <n v="37900"/>
    <x v="1"/>
    <x v="0"/>
  </r>
  <r>
    <s v="02.01.2026"/>
    <x v="1"/>
    <x v="1"/>
    <x v="0"/>
    <n v="322"/>
    <n v="250"/>
    <n v="150"/>
    <n v="80500"/>
    <n v="32200"/>
    <x v="1"/>
    <x v="1"/>
  </r>
  <r>
    <s v="06.01.2026"/>
    <x v="0"/>
    <x v="0"/>
    <x v="0"/>
    <n v="389"/>
    <n v="80"/>
    <n v="48"/>
    <n v="31120"/>
    <n v="12448"/>
    <x v="1"/>
    <x v="1"/>
  </r>
  <r>
    <s v="23.02.2026"/>
    <x v="3"/>
    <x v="3"/>
    <x v="4"/>
    <n v="118"/>
    <n v="120"/>
    <n v="72"/>
    <n v="14160"/>
    <n v="5664"/>
    <x v="0"/>
    <x v="2"/>
  </r>
  <r>
    <s v="04.01.2026"/>
    <x v="3"/>
    <x v="3"/>
    <x v="4"/>
    <n v="83"/>
    <n v="120"/>
    <n v="72"/>
    <n v="9960"/>
    <n v="3984"/>
    <x v="1"/>
    <x v="0"/>
  </r>
  <r>
    <s v="23.02.2026"/>
    <x v="1"/>
    <x v="1"/>
    <x v="1"/>
    <n v="311"/>
    <n v="250"/>
    <n v="150"/>
    <n v="77750"/>
    <n v="31100"/>
    <x v="0"/>
    <x v="1"/>
  </r>
  <r>
    <s v="04.03.2026"/>
    <x v="3"/>
    <x v="3"/>
    <x v="1"/>
    <n v="102"/>
    <n v="120"/>
    <n v="72"/>
    <n v="12240"/>
    <n v="4896"/>
    <x v="2"/>
    <x v="3"/>
  </r>
  <r>
    <s v="18.01.2026"/>
    <x v="1"/>
    <x v="1"/>
    <x v="0"/>
    <n v="499"/>
    <n v="250"/>
    <n v="150"/>
    <n v="124750"/>
    <n v="49900"/>
    <x v="1"/>
    <x v="2"/>
  </r>
  <r>
    <s v="31.03.2026"/>
    <x v="1"/>
    <x v="1"/>
    <x v="0"/>
    <n v="254"/>
    <n v="250"/>
    <n v="150"/>
    <n v="63500"/>
    <n v="25400"/>
    <x v="2"/>
    <x v="3"/>
  </r>
  <r>
    <s v="13.02.2026"/>
    <x v="3"/>
    <x v="3"/>
    <x v="0"/>
    <n v="175"/>
    <n v="120"/>
    <n v="72"/>
    <n v="21000"/>
    <n v="8400"/>
    <x v="0"/>
    <x v="0"/>
  </r>
  <r>
    <s v="03.02.2026"/>
    <x v="0"/>
    <x v="0"/>
    <x v="3"/>
    <n v="284"/>
    <n v="80"/>
    <n v="48"/>
    <n v="22720"/>
    <n v="9088"/>
    <x v="0"/>
    <x v="0"/>
  </r>
  <r>
    <s v="15.03.2026"/>
    <x v="4"/>
    <x v="4"/>
    <x v="3"/>
    <n v="92"/>
    <n v="300"/>
    <n v="180"/>
    <n v="27600"/>
    <n v="11040"/>
    <x v="2"/>
    <x v="0"/>
  </r>
  <r>
    <s v="03.03.2026"/>
    <x v="3"/>
    <x v="3"/>
    <x v="3"/>
    <n v="289"/>
    <n v="120"/>
    <n v="72"/>
    <n v="34680"/>
    <n v="13872"/>
    <x v="2"/>
    <x v="2"/>
  </r>
  <r>
    <s v="14.01.2026"/>
    <x v="0"/>
    <x v="0"/>
    <x v="3"/>
    <n v="420"/>
    <n v="80"/>
    <n v="48"/>
    <n v="33600"/>
    <n v="13440"/>
    <x v="1"/>
    <x v="1"/>
  </r>
  <r>
    <s v="17.02.2026"/>
    <x v="1"/>
    <x v="1"/>
    <x v="0"/>
    <n v="160"/>
    <n v="250"/>
    <n v="150"/>
    <n v="40000"/>
    <n v="16000"/>
    <x v="0"/>
    <x v="2"/>
  </r>
  <r>
    <s v="15.01.2026"/>
    <x v="1"/>
    <x v="1"/>
    <x v="0"/>
    <n v="298"/>
    <n v="250"/>
    <n v="150"/>
    <n v="74500"/>
    <n v="29800"/>
    <x v="1"/>
    <x v="3"/>
  </r>
  <r>
    <s v="13.03.2026"/>
    <x v="1"/>
    <x v="1"/>
    <x v="0"/>
    <n v="200"/>
    <n v="250"/>
    <n v="150"/>
    <n v="50000"/>
    <n v="20000"/>
    <x v="2"/>
    <x v="2"/>
  </r>
  <r>
    <s v="19.03.2026"/>
    <x v="1"/>
    <x v="1"/>
    <x v="1"/>
    <n v="232"/>
    <n v="250"/>
    <n v="150"/>
    <n v="58000"/>
    <n v="23200"/>
    <x v="2"/>
    <x v="3"/>
  </r>
  <r>
    <s v="28.03.2026"/>
    <x v="2"/>
    <x v="2"/>
    <x v="0"/>
    <n v="385"/>
    <n v="150"/>
    <n v="90"/>
    <n v="57750"/>
    <n v="23100"/>
    <x v="2"/>
    <x v="2"/>
  </r>
  <r>
    <s v="03.03.2026"/>
    <x v="1"/>
    <x v="1"/>
    <x v="2"/>
    <n v="144"/>
    <n v="250"/>
    <n v="150"/>
    <n v="36000"/>
    <n v="14400"/>
    <x v="2"/>
    <x v="1"/>
  </r>
  <r>
    <s v="09.02.2026"/>
    <x v="4"/>
    <x v="4"/>
    <x v="0"/>
    <n v="423"/>
    <n v="300"/>
    <n v="180"/>
    <n v="126900"/>
    <n v="50760"/>
    <x v="0"/>
    <x v="3"/>
  </r>
  <r>
    <s v="26.03.2026"/>
    <x v="0"/>
    <x v="0"/>
    <x v="0"/>
    <n v="449"/>
    <n v="80"/>
    <n v="48"/>
    <n v="35920"/>
    <n v="14368"/>
    <x v="2"/>
    <x v="0"/>
  </r>
  <r>
    <s v="21.03.2026"/>
    <x v="3"/>
    <x v="3"/>
    <x v="0"/>
    <n v="57"/>
    <n v="120"/>
    <n v="72"/>
    <n v="6840"/>
    <n v="2736"/>
    <x v="2"/>
    <x v="0"/>
  </r>
  <r>
    <s v="23.03.2026"/>
    <x v="0"/>
    <x v="0"/>
    <x v="3"/>
    <n v="437"/>
    <n v="80"/>
    <n v="48"/>
    <n v="34960"/>
    <n v="13984"/>
    <x v="2"/>
    <x v="2"/>
  </r>
  <r>
    <s v="22.02.2026"/>
    <x v="0"/>
    <x v="0"/>
    <x v="1"/>
    <n v="409"/>
    <n v="80"/>
    <n v="48"/>
    <n v="32720"/>
    <n v="13088"/>
    <x v="0"/>
    <x v="0"/>
  </r>
  <r>
    <s v="24.01.2026"/>
    <x v="0"/>
    <x v="0"/>
    <x v="0"/>
    <n v="437"/>
    <n v="80"/>
    <n v="48"/>
    <n v="34960"/>
    <n v="13984"/>
    <x v="1"/>
    <x v="3"/>
  </r>
  <r>
    <s v="26.01.2026"/>
    <x v="1"/>
    <x v="1"/>
    <x v="0"/>
    <n v="233"/>
    <n v="250"/>
    <n v="150"/>
    <n v="58250"/>
    <n v="23300"/>
    <x v="1"/>
    <x v="0"/>
  </r>
  <r>
    <s v="30.03.2026"/>
    <x v="3"/>
    <x v="3"/>
    <x v="3"/>
    <n v="330"/>
    <n v="120"/>
    <n v="72"/>
    <n v="39600"/>
    <n v="15840"/>
    <x v="2"/>
    <x v="1"/>
  </r>
  <r>
    <s v="01.03.2026"/>
    <x v="1"/>
    <x v="1"/>
    <x v="0"/>
    <n v="244"/>
    <n v="250"/>
    <n v="150"/>
    <n v="61000"/>
    <n v="24400"/>
    <x v="2"/>
    <x v="1"/>
  </r>
  <r>
    <s v="10.02.2026"/>
    <x v="1"/>
    <x v="1"/>
    <x v="2"/>
    <n v="401"/>
    <n v="250"/>
    <n v="150"/>
    <n v="100250"/>
    <n v="40100"/>
    <x v="0"/>
    <x v="2"/>
  </r>
  <r>
    <s v="29.01.2026"/>
    <x v="0"/>
    <x v="0"/>
    <x v="3"/>
    <n v="244"/>
    <n v="80"/>
    <n v="48"/>
    <n v="19520"/>
    <n v="7808"/>
    <x v="1"/>
    <x v="3"/>
  </r>
  <r>
    <s v="15.01.2026"/>
    <x v="1"/>
    <x v="1"/>
    <x v="0"/>
    <n v="204"/>
    <n v="250"/>
    <n v="150"/>
    <n v="51000"/>
    <n v="20400"/>
    <x v="1"/>
    <x v="1"/>
  </r>
  <r>
    <s v="14.02.2026"/>
    <x v="2"/>
    <x v="2"/>
    <x v="0"/>
    <n v="142"/>
    <n v="150"/>
    <n v="90"/>
    <n v="21300"/>
    <n v="8520"/>
    <x v="0"/>
    <x v="1"/>
  </r>
  <r>
    <s v="06.03.2026"/>
    <x v="2"/>
    <x v="2"/>
    <x v="4"/>
    <n v="209"/>
    <n v="150"/>
    <n v="90"/>
    <n v="31350"/>
    <n v="12540"/>
    <x v="2"/>
    <x v="3"/>
  </r>
  <r>
    <s v="30.03.2026"/>
    <x v="2"/>
    <x v="2"/>
    <x v="0"/>
    <n v="483"/>
    <n v="150"/>
    <n v="90"/>
    <n v="72450"/>
    <n v="28980"/>
    <x v="2"/>
    <x v="0"/>
  </r>
  <r>
    <s v="12.03.2026"/>
    <x v="1"/>
    <x v="1"/>
    <x v="0"/>
    <n v="110"/>
    <n v="250"/>
    <n v="150"/>
    <n v="27500"/>
    <n v="11000"/>
    <x v="2"/>
    <x v="0"/>
  </r>
  <r>
    <s v="09.01.2026"/>
    <x v="1"/>
    <x v="1"/>
    <x v="2"/>
    <n v="171"/>
    <n v="250"/>
    <n v="150"/>
    <n v="42750"/>
    <n v="17100"/>
    <x v="1"/>
    <x v="2"/>
  </r>
  <r>
    <s v="29.03.2026"/>
    <x v="2"/>
    <x v="2"/>
    <x v="4"/>
    <n v="100"/>
    <n v="150"/>
    <n v="90"/>
    <n v="15000"/>
    <n v="6000"/>
    <x v="2"/>
    <x v="0"/>
  </r>
  <r>
    <s v="01.01.2026"/>
    <x v="0"/>
    <x v="0"/>
    <x v="4"/>
    <n v="452"/>
    <n v="80"/>
    <n v="48"/>
    <n v="36160"/>
    <n v="14464"/>
    <x v="1"/>
    <x v="3"/>
  </r>
  <r>
    <s v="08.01.2026"/>
    <x v="2"/>
    <x v="2"/>
    <x v="3"/>
    <n v="326"/>
    <n v="150"/>
    <n v="90"/>
    <n v="48900"/>
    <n v="19560"/>
    <x v="1"/>
    <x v="1"/>
  </r>
  <r>
    <s v="29.03.2026"/>
    <x v="2"/>
    <x v="2"/>
    <x v="0"/>
    <n v="54"/>
    <n v="150"/>
    <n v="90"/>
    <n v="8100"/>
    <n v="3240"/>
    <x v="2"/>
    <x v="0"/>
  </r>
  <r>
    <s v="04.03.2026"/>
    <x v="4"/>
    <x v="4"/>
    <x v="0"/>
    <n v="141"/>
    <n v="300"/>
    <n v="180"/>
    <n v="42300"/>
    <n v="16920"/>
    <x v="2"/>
    <x v="2"/>
  </r>
  <r>
    <s v="11.01.2026"/>
    <x v="1"/>
    <x v="1"/>
    <x v="3"/>
    <n v="219"/>
    <n v="250"/>
    <n v="150"/>
    <n v="54750"/>
    <n v="21900"/>
    <x v="1"/>
    <x v="0"/>
  </r>
  <r>
    <s v="22.03.2026"/>
    <x v="1"/>
    <x v="1"/>
    <x v="1"/>
    <n v="366"/>
    <n v="250"/>
    <n v="150"/>
    <n v="91500"/>
    <n v="36600"/>
    <x v="2"/>
    <x v="3"/>
  </r>
  <r>
    <s v="08.01.2026"/>
    <x v="4"/>
    <x v="4"/>
    <x v="0"/>
    <n v="71"/>
    <n v="300"/>
    <n v="180"/>
    <n v="21300"/>
    <n v="8520"/>
    <x v="1"/>
    <x v="2"/>
  </r>
  <r>
    <s v="04.02.2026"/>
    <x v="1"/>
    <x v="1"/>
    <x v="4"/>
    <n v="454"/>
    <n v="250"/>
    <n v="150"/>
    <n v="113500"/>
    <n v="45400"/>
    <x v="0"/>
    <x v="0"/>
  </r>
  <r>
    <s v="04.02.2026"/>
    <x v="1"/>
    <x v="1"/>
    <x v="0"/>
    <n v="375"/>
    <n v="250"/>
    <n v="150"/>
    <n v="93750"/>
    <n v="37500"/>
    <x v="0"/>
    <x v="2"/>
  </r>
  <r>
    <s v="02.02.2026"/>
    <x v="0"/>
    <x v="0"/>
    <x v="0"/>
    <n v="50"/>
    <n v="80"/>
    <n v="48"/>
    <n v="4000"/>
    <n v="1600"/>
    <x v="0"/>
    <x v="3"/>
  </r>
  <r>
    <s v="05.01.2026"/>
    <x v="2"/>
    <x v="2"/>
    <x v="0"/>
    <n v="182"/>
    <n v="150"/>
    <n v="90"/>
    <n v="27300"/>
    <n v="10920"/>
    <x v="1"/>
    <x v="1"/>
  </r>
  <r>
    <s v="10.02.2026"/>
    <x v="3"/>
    <x v="3"/>
    <x v="0"/>
    <n v="282"/>
    <n v="120"/>
    <n v="72"/>
    <n v="33840"/>
    <n v="13536"/>
    <x v="0"/>
    <x v="3"/>
  </r>
  <r>
    <s v="28.01.2026"/>
    <x v="0"/>
    <x v="0"/>
    <x v="0"/>
    <n v="61"/>
    <n v="80"/>
    <n v="48"/>
    <n v="4880"/>
    <n v="1952"/>
    <x v="1"/>
    <x v="3"/>
  </r>
  <r>
    <s v="07.01.2026"/>
    <x v="1"/>
    <x v="1"/>
    <x v="0"/>
    <n v="395"/>
    <n v="250"/>
    <n v="150"/>
    <n v="98750"/>
    <n v="39500"/>
    <x v="1"/>
    <x v="3"/>
  </r>
  <r>
    <s v="14.03.2026"/>
    <x v="0"/>
    <x v="0"/>
    <x v="0"/>
    <n v="95"/>
    <n v="80"/>
    <n v="48"/>
    <n v="7600"/>
    <n v="3040"/>
    <x v="2"/>
    <x v="3"/>
  </r>
  <r>
    <s v="13.03.2026"/>
    <x v="2"/>
    <x v="2"/>
    <x v="1"/>
    <n v="83"/>
    <n v="150"/>
    <n v="90"/>
    <n v="12450"/>
    <n v="4980"/>
    <x v="2"/>
    <x v="1"/>
  </r>
  <r>
    <s v="12.01.2026"/>
    <x v="1"/>
    <x v="1"/>
    <x v="3"/>
    <n v="482"/>
    <n v="250"/>
    <n v="150"/>
    <n v="120500"/>
    <n v="48200"/>
    <x v="1"/>
    <x v="1"/>
  </r>
  <r>
    <s v="03.02.2026"/>
    <x v="0"/>
    <x v="0"/>
    <x v="1"/>
    <n v="127"/>
    <n v="80"/>
    <n v="48"/>
    <n v="10160"/>
    <n v="4064"/>
    <x v="0"/>
    <x v="2"/>
  </r>
  <r>
    <s v="02.02.2026"/>
    <x v="4"/>
    <x v="4"/>
    <x v="4"/>
    <n v="267"/>
    <n v="300"/>
    <n v="180"/>
    <n v="80100"/>
    <n v="32040"/>
    <x v="0"/>
    <x v="0"/>
  </r>
  <r>
    <s v="17.02.2026"/>
    <x v="3"/>
    <x v="3"/>
    <x v="0"/>
    <n v="350"/>
    <n v="120"/>
    <n v="72"/>
    <n v="42000"/>
    <n v="16800"/>
    <x v="0"/>
    <x v="1"/>
  </r>
  <r>
    <s v="23.01.2026"/>
    <x v="3"/>
    <x v="3"/>
    <x v="0"/>
    <n v="460"/>
    <n v="120"/>
    <n v="72"/>
    <n v="55200"/>
    <n v="22080"/>
    <x v="1"/>
    <x v="1"/>
  </r>
  <r>
    <s v="03.03.2026"/>
    <x v="3"/>
    <x v="3"/>
    <x v="2"/>
    <n v="122"/>
    <n v="120"/>
    <n v="72"/>
    <n v="14640"/>
    <n v="5856"/>
    <x v="2"/>
    <x v="0"/>
  </r>
  <r>
    <s v="29.03.2026"/>
    <x v="1"/>
    <x v="1"/>
    <x v="0"/>
    <n v="331"/>
    <n v="250"/>
    <n v="150"/>
    <n v="82750"/>
    <n v="33100"/>
    <x v="2"/>
    <x v="1"/>
  </r>
  <r>
    <s v="06.02.2026"/>
    <x v="1"/>
    <x v="1"/>
    <x v="4"/>
    <n v="298"/>
    <n v="250"/>
    <n v="150"/>
    <n v="74500"/>
    <n v="29800"/>
    <x v="0"/>
    <x v="3"/>
  </r>
  <r>
    <s v="13.02.2026"/>
    <x v="4"/>
    <x v="4"/>
    <x v="0"/>
    <n v="96"/>
    <n v="300"/>
    <n v="180"/>
    <n v="28800"/>
    <n v="11520"/>
    <x v="0"/>
    <x v="3"/>
  </r>
  <r>
    <s v="27.03.2026"/>
    <x v="4"/>
    <x v="4"/>
    <x v="4"/>
    <n v="170"/>
    <n v="300"/>
    <n v="180"/>
    <n v="51000"/>
    <n v="20400"/>
    <x v="2"/>
    <x v="0"/>
  </r>
  <r>
    <s v="04.02.2026"/>
    <x v="4"/>
    <x v="4"/>
    <x v="0"/>
    <n v="263"/>
    <n v="300"/>
    <n v="180"/>
    <n v="78900"/>
    <n v="31560"/>
    <x v="0"/>
    <x v="2"/>
  </r>
  <r>
    <s v="06.03.2026"/>
    <x v="2"/>
    <x v="2"/>
    <x v="2"/>
    <n v="288"/>
    <n v="150"/>
    <n v="90"/>
    <n v="43200"/>
    <n v="17280"/>
    <x v="2"/>
    <x v="2"/>
  </r>
  <r>
    <s v="16.02.2026"/>
    <x v="0"/>
    <x v="0"/>
    <x v="1"/>
    <n v="105"/>
    <n v="80"/>
    <n v="48"/>
    <n v="8400"/>
    <n v="3360"/>
    <x v="0"/>
    <x v="0"/>
  </r>
  <r>
    <s v="19.03.2026"/>
    <x v="0"/>
    <x v="0"/>
    <x v="4"/>
    <n v="399"/>
    <n v="80"/>
    <n v="48"/>
    <n v="31920"/>
    <n v="12768"/>
    <x v="2"/>
    <x v="0"/>
  </r>
  <r>
    <s v="03.01.2026"/>
    <x v="3"/>
    <x v="3"/>
    <x v="0"/>
    <n v="156"/>
    <n v="120"/>
    <n v="72"/>
    <n v="18720"/>
    <n v="7488"/>
    <x v="1"/>
    <x v="3"/>
  </r>
  <r>
    <s v="01.01.2026"/>
    <x v="0"/>
    <x v="0"/>
    <x v="1"/>
    <n v="368"/>
    <n v="80"/>
    <n v="48"/>
    <n v="29440"/>
    <n v="11776"/>
    <x v="1"/>
    <x v="2"/>
  </r>
  <r>
    <s v="05.01.2026"/>
    <x v="3"/>
    <x v="3"/>
    <x v="4"/>
    <n v="97"/>
    <n v="120"/>
    <n v="72"/>
    <n v="11640"/>
    <n v="4656"/>
    <x v="1"/>
    <x v="1"/>
  </r>
  <r>
    <s v="31.03.2026"/>
    <x v="3"/>
    <x v="3"/>
    <x v="1"/>
    <n v="110"/>
    <n v="120"/>
    <n v="72"/>
    <n v="13200"/>
    <n v="5280"/>
    <x v="2"/>
    <x v="3"/>
  </r>
  <r>
    <s v="14.01.2026"/>
    <x v="4"/>
    <x v="4"/>
    <x v="1"/>
    <n v="386"/>
    <n v="300"/>
    <n v="180"/>
    <n v="115800"/>
    <n v="46320"/>
    <x v="1"/>
    <x v="0"/>
  </r>
  <r>
    <s v="27.01.2026"/>
    <x v="1"/>
    <x v="1"/>
    <x v="3"/>
    <n v="75"/>
    <n v="250"/>
    <n v="150"/>
    <n v="18750"/>
    <n v="7500"/>
    <x v="1"/>
    <x v="2"/>
  </r>
  <r>
    <s v="09.01.2026"/>
    <x v="1"/>
    <x v="1"/>
    <x v="0"/>
    <n v="341"/>
    <n v="250"/>
    <n v="150"/>
    <n v="85250"/>
    <n v="34100"/>
    <x v="1"/>
    <x v="1"/>
  </r>
  <r>
    <s v="20.03.2026"/>
    <x v="1"/>
    <x v="1"/>
    <x v="1"/>
    <n v="306"/>
    <n v="250"/>
    <n v="150"/>
    <n v="76500"/>
    <n v="30600"/>
    <x v="2"/>
    <x v="1"/>
  </r>
  <r>
    <s v="15.01.2026"/>
    <x v="0"/>
    <x v="0"/>
    <x v="1"/>
    <n v="57"/>
    <n v="80"/>
    <n v="48"/>
    <n v="4560"/>
    <n v="1824"/>
    <x v="1"/>
    <x v="3"/>
  </r>
  <r>
    <s v="31.03.2026"/>
    <x v="1"/>
    <x v="1"/>
    <x v="4"/>
    <n v="162"/>
    <n v="250"/>
    <n v="150"/>
    <n v="40500"/>
    <n v="16200"/>
    <x v="2"/>
    <x v="2"/>
  </r>
  <r>
    <s v="11.02.2026"/>
    <x v="0"/>
    <x v="0"/>
    <x v="0"/>
    <n v="404"/>
    <n v="80"/>
    <n v="48"/>
    <n v="32320"/>
    <n v="12928"/>
    <x v="0"/>
    <x v="2"/>
  </r>
  <r>
    <s v="18.03.2026"/>
    <x v="0"/>
    <x v="0"/>
    <x v="0"/>
    <n v="302"/>
    <n v="80"/>
    <n v="48"/>
    <n v="24160"/>
    <n v="9664"/>
    <x v="2"/>
    <x v="0"/>
  </r>
  <r>
    <s v="20.02.2026"/>
    <x v="1"/>
    <x v="1"/>
    <x v="4"/>
    <n v="229"/>
    <n v="250"/>
    <n v="150"/>
    <n v="57250"/>
    <n v="22900"/>
    <x v="0"/>
    <x v="2"/>
  </r>
  <r>
    <s v="04.03.2026"/>
    <x v="0"/>
    <x v="0"/>
    <x v="2"/>
    <n v="256"/>
    <n v="80"/>
    <n v="48"/>
    <n v="20480"/>
    <n v="8192"/>
    <x v="2"/>
    <x v="2"/>
  </r>
  <r>
    <s v="21.02.2026"/>
    <x v="1"/>
    <x v="1"/>
    <x v="0"/>
    <n v="352"/>
    <n v="250"/>
    <n v="150"/>
    <n v="88000"/>
    <n v="35200"/>
    <x v="0"/>
    <x v="3"/>
  </r>
  <r>
    <s v="04.01.2026"/>
    <x v="1"/>
    <x v="1"/>
    <x v="1"/>
    <n v="176"/>
    <n v="250"/>
    <n v="150"/>
    <n v="44000"/>
    <n v="17600"/>
    <x v="1"/>
    <x v="2"/>
  </r>
  <r>
    <s v="23.01.2026"/>
    <x v="4"/>
    <x v="4"/>
    <x v="0"/>
    <n v="105"/>
    <n v="300"/>
    <n v="180"/>
    <n v="31500"/>
    <n v="12600"/>
    <x v="1"/>
    <x v="1"/>
  </r>
  <r>
    <s v="15.01.2026"/>
    <x v="1"/>
    <x v="1"/>
    <x v="0"/>
    <n v="263"/>
    <n v="250"/>
    <n v="150"/>
    <n v="65750"/>
    <n v="26300"/>
    <x v="1"/>
    <x v="3"/>
  </r>
  <r>
    <s v="12.02.2026"/>
    <x v="1"/>
    <x v="1"/>
    <x v="0"/>
    <n v="63"/>
    <n v="250"/>
    <n v="150"/>
    <n v="15750"/>
    <n v="6300"/>
    <x v="0"/>
    <x v="3"/>
  </r>
  <r>
    <s v="29.01.2026"/>
    <x v="0"/>
    <x v="0"/>
    <x v="0"/>
    <n v="77"/>
    <n v="80"/>
    <n v="48"/>
    <n v="6160"/>
    <n v="2464"/>
    <x v="1"/>
    <x v="0"/>
  </r>
  <r>
    <s v="05.02.2026"/>
    <x v="3"/>
    <x v="3"/>
    <x v="1"/>
    <n v="127"/>
    <n v="120"/>
    <n v="72"/>
    <n v="15240"/>
    <n v="6096"/>
    <x v="0"/>
    <x v="2"/>
  </r>
  <r>
    <s v="13.01.2026"/>
    <x v="1"/>
    <x v="1"/>
    <x v="0"/>
    <n v="265"/>
    <n v="250"/>
    <n v="150"/>
    <n v="66250"/>
    <n v="26500"/>
    <x v="1"/>
    <x v="0"/>
  </r>
  <r>
    <s v="01.02.2026"/>
    <x v="0"/>
    <x v="0"/>
    <x v="4"/>
    <n v="435"/>
    <n v="80"/>
    <n v="48"/>
    <n v="34800"/>
    <n v="13920"/>
    <x v="0"/>
    <x v="1"/>
  </r>
  <r>
    <s v="12.03.2026"/>
    <x v="1"/>
    <x v="1"/>
    <x v="4"/>
    <n v="414"/>
    <n v="250"/>
    <n v="150"/>
    <n v="103500"/>
    <n v="41400"/>
    <x v="2"/>
    <x v="3"/>
  </r>
  <r>
    <s v="28.02.2026"/>
    <x v="1"/>
    <x v="1"/>
    <x v="3"/>
    <n v="203"/>
    <n v="250"/>
    <n v="150"/>
    <n v="50750"/>
    <n v="20300"/>
    <x v="0"/>
    <x v="3"/>
  </r>
  <r>
    <s v="27.03.2026"/>
    <x v="0"/>
    <x v="0"/>
    <x v="1"/>
    <n v="63"/>
    <n v="80"/>
    <n v="48"/>
    <n v="5040"/>
    <n v="2016"/>
    <x v="2"/>
    <x v="3"/>
  </r>
  <r>
    <s v="28.01.2026"/>
    <x v="0"/>
    <x v="0"/>
    <x v="0"/>
    <n v="236"/>
    <n v="80"/>
    <n v="48"/>
    <n v="18880"/>
    <n v="7552"/>
    <x v="1"/>
    <x v="1"/>
  </r>
  <r>
    <s v="07.03.2026"/>
    <x v="0"/>
    <x v="0"/>
    <x v="2"/>
    <n v="361"/>
    <n v="80"/>
    <n v="48"/>
    <n v="28880"/>
    <n v="11552"/>
    <x v="2"/>
    <x v="1"/>
  </r>
  <r>
    <s v="11.02.2026"/>
    <x v="3"/>
    <x v="3"/>
    <x v="3"/>
    <n v="420"/>
    <n v="120"/>
    <n v="72"/>
    <n v="50400"/>
    <n v="20160"/>
    <x v="0"/>
    <x v="0"/>
  </r>
  <r>
    <s v="14.02.2026"/>
    <x v="2"/>
    <x v="2"/>
    <x v="0"/>
    <n v="56"/>
    <n v="150"/>
    <n v="90"/>
    <n v="8400"/>
    <n v="3360"/>
    <x v="0"/>
    <x v="0"/>
  </r>
  <r>
    <s v="03.03.2026"/>
    <x v="0"/>
    <x v="0"/>
    <x v="4"/>
    <n v="52"/>
    <n v="80"/>
    <n v="48"/>
    <n v="4160"/>
    <n v="1664"/>
    <x v="2"/>
    <x v="0"/>
  </r>
  <r>
    <s v="26.02.2026"/>
    <x v="1"/>
    <x v="1"/>
    <x v="2"/>
    <n v="160"/>
    <n v="250"/>
    <n v="150"/>
    <n v="40000"/>
    <n v="16000"/>
    <x v="0"/>
    <x v="2"/>
  </r>
  <r>
    <s v="06.01.2026"/>
    <x v="3"/>
    <x v="3"/>
    <x v="4"/>
    <n v="456"/>
    <n v="120"/>
    <n v="72"/>
    <n v="54720"/>
    <n v="21888"/>
    <x v="1"/>
    <x v="3"/>
  </r>
  <r>
    <s v="28.01.2026"/>
    <x v="1"/>
    <x v="1"/>
    <x v="3"/>
    <n v="287"/>
    <n v="250"/>
    <n v="150"/>
    <n v="71750"/>
    <n v="28700"/>
    <x v="1"/>
    <x v="3"/>
  </r>
  <r>
    <s v="28.01.2026"/>
    <x v="0"/>
    <x v="0"/>
    <x v="1"/>
    <n v="412"/>
    <n v="80"/>
    <n v="48"/>
    <n v="32960"/>
    <n v="13184"/>
    <x v="1"/>
    <x v="0"/>
  </r>
  <r>
    <s v="13.02.2026"/>
    <x v="1"/>
    <x v="1"/>
    <x v="0"/>
    <n v="288"/>
    <n v="250"/>
    <n v="150"/>
    <n v="72000"/>
    <n v="28800"/>
    <x v="0"/>
    <x v="3"/>
  </r>
  <r>
    <s v="25.03.2026"/>
    <x v="1"/>
    <x v="1"/>
    <x v="4"/>
    <n v="323"/>
    <n v="250"/>
    <n v="150"/>
    <n v="80750"/>
    <n v="32300"/>
    <x v="2"/>
    <x v="0"/>
  </r>
  <r>
    <s v="30.01.2026"/>
    <x v="2"/>
    <x v="2"/>
    <x v="2"/>
    <n v="343"/>
    <n v="150"/>
    <n v="90"/>
    <n v="51450"/>
    <n v="20580"/>
    <x v="1"/>
    <x v="2"/>
  </r>
  <r>
    <s v="03.03.2026"/>
    <x v="4"/>
    <x v="4"/>
    <x v="0"/>
    <n v="276"/>
    <n v="300"/>
    <n v="180"/>
    <n v="82800"/>
    <n v="33120"/>
    <x v="2"/>
    <x v="2"/>
  </r>
  <r>
    <s v="16.03.2026"/>
    <x v="3"/>
    <x v="3"/>
    <x v="0"/>
    <n v="420"/>
    <n v="120"/>
    <n v="72"/>
    <n v="50400"/>
    <n v="20160"/>
    <x v="2"/>
    <x v="1"/>
  </r>
  <r>
    <s v="30.03.2026"/>
    <x v="0"/>
    <x v="0"/>
    <x v="0"/>
    <n v="64"/>
    <n v="80"/>
    <n v="48"/>
    <n v="5120"/>
    <n v="2048"/>
    <x v="2"/>
    <x v="2"/>
  </r>
  <r>
    <s v="03.03.2026"/>
    <x v="1"/>
    <x v="1"/>
    <x v="2"/>
    <n v="241"/>
    <n v="250"/>
    <n v="150"/>
    <n v="60250"/>
    <n v="24100"/>
    <x v="2"/>
    <x v="0"/>
  </r>
  <r>
    <s v="01.01.2026"/>
    <x v="1"/>
    <x v="1"/>
    <x v="4"/>
    <n v="168"/>
    <n v="250"/>
    <n v="150"/>
    <n v="42000"/>
    <n v="16800"/>
    <x v="1"/>
    <x v="2"/>
  </r>
  <r>
    <s v="27.01.2026"/>
    <x v="1"/>
    <x v="1"/>
    <x v="0"/>
    <n v="77"/>
    <n v="250"/>
    <n v="150"/>
    <n v="19250"/>
    <n v="7700"/>
    <x v="1"/>
    <x v="1"/>
  </r>
  <r>
    <s v="03.03.2026"/>
    <x v="0"/>
    <x v="0"/>
    <x v="1"/>
    <n v="251"/>
    <n v="80"/>
    <n v="48"/>
    <n v="20080"/>
    <n v="8032"/>
    <x v="2"/>
    <x v="3"/>
  </r>
  <r>
    <s v="18.03.2026"/>
    <x v="3"/>
    <x v="3"/>
    <x v="0"/>
    <n v="88"/>
    <n v="120"/>
    <n v="72"/>
    <n v="10560"/>
    <n v="4224"/>
    <x v="2"/>
    <x v="0"/>
  </r>
  <r>
    <s v="03.01.2026"/>
    <x v="3"/>
    <x v="3"/>
    <x v="4"/>
    <n v="490"/>
    <n v="120"/>
    <n v="72"/>
    <n v="58800"/>
    <n v="23520"/>
    <x v="1"/>
    <x v="3"/>
  </r>
  <r>
    <s v="11.03.2026"/>
    <x v="1"/>
    <x v="1"/>
    <x v="2"/>
    <n v="322"/>
    <n v="250"/>
    <n v="150"/>
    <n v="80500"/>
    <n v="32200"/>
    <x v="2"/>
    <x v="1"/>
  </r>
  <r>
    <s v="13.03.2026"/>
    <x v="2"/>
    <x v="2"/>
    <x v="2"/>
    <n v="280"/>
    <n v="150"/>
    <n v="90"/>
    <n v="42000"/>
    <n v="16800"/>
    <x v="2"/>
    <x v="1"/>
  </r>
  <r>
    <s v="27.01.2026"/>
    <x v="3"/>
    <x v="3"/>
    <x v="0"/>
    <n v="135"/>
    <n v="120"/>
    <n v="72"/>
    <n v="16200"/>
    <n v="6480"/>
    <x v="1"/>
    <x v="1"/>
  </r>
  <r>
    <s v="09.01.2026"/>
    <x v="0"/>
    <x v="0"/>
    <x v="0"/>
    <n v="175"/>
    <n v="80"/>
    <n v="48"/>
    <n v="14000"/>
    <n v="5600"/>
    <x v="1"/>
    <x v="3"/>
  </r>
  <r>
    <s v="03.03.2026"/>
    <x v="0"/>
    <x v="0"/>
    <x v="0"/>
    <n v="349"/>
    <n v="80"/>
    <n v="48"/>
    <n v="27920"/>
    <n v="11168"/>
    <x v="2"/>
    <x v="3"/>
  </r>
  <r>
    <s v="06.02.2026"/>
    <x v="0"/>
    <x v="0"/>
    <x v="0"/>
    <n v="74"/>
    <n v="80"/>
    <n v="48"/>
    <n v="5920"/>
    <n v="2368"/>
    <x v="0"/>
    <x v="3"/>
  </r>
  <r>
    <s v="20.02.2026"/>
    <x v="1"/>
    <x v="1"/>
    <x v="2"/>
    <n v="194"/>
    <n v="250"/>
    <n v="150"/>
    <n v="48500"/>
    <n v="19400"/>
    <x v="0"/>
    <x v="3"/>
  </r>
  <r>
    <s v="13.02.2026"/>
    <x v="1"/>
    <x v="1"/>
    <x v="2"/>
    <n v="62"/>
    <n v="250"/>
    <n v="150"/>
    <n v="15500"/>
    <n v="6200"/>
    <x v="0"/>
    <x v="1"/>
  </r>
  <r>
    <s v="24.01.2026"/>
    <x v="3"/>
    <x v="3"/>
    <x v="4"/>
    <n v="261"/>
    <n v="120"/>
    <n v="72"/>
    <n v="31320"/>
    <n v="12528"/>
    <x v="1"/>
    <x v="1"/>
  </r>
  <r>
    <s v="20.03.2026"/>
    <x v="1"/>
    <x v="1"/>
    <x v="4"/>
    <n v="74"/>
    <n v="250"/>
    <n v="150"/>
    <n v="18500"/>
    <n v="7400"/>
    <x v="2"/>
    <x v="0"/>
  </r>
  <r>
    <s v="28.02.2026"/>
    <x v="1"/>
    <x v="1"/>
    <x v="1"/>
    <n v="117"/>
    <n v="250"/>
    <n v="150"/>
    <n v="29250"/>
    <n v="11700"/>
    <x v="0"/>
    <x v="0"/>
  </r>
  <r>
    <s v="01.02.2026"/>
    <x v="1"/>
    <x v="1"/>
    <x v="3"/>
    <n v="443"/>
    <n v="250"/>
    <n v="150"/>
    <n v="110750"/>
    <n v="44300"/>
    <x v="0"/>
    <x v="3"/>
  </r>
  <r>
    <s v="29.03.2026"/>
    <x v="1"/>
    <x v="1"/>
    <x v="4"/>
    <n v="116"/>
    <n v="250"/>
    <n v="150"/>
    <n v="29000"/>
    <n v="11600"/>
    <x v="2"/>
    <x v="2"/>
  </r>
  <r>
    <s v="21.02.2026"/>
    <x v="4"/>
    <x v="4"/>
    <x v="2"/>
    <n v="282"/>
    <n v="300"/>
    <n v="180"/>
    <n v="84600"/>
    <n v="33840"/>
    <x v="0"/>
    <x v="2"/>
  </r>
  <r>
    <s v="03.03.2026"/>
    <x v="3"/>
    <x v="3"/>
    <x v="0"/>
    <n v="158"/>
    <n v="120"/>
    <n v="72"/>
    <n v="18960"/>
    <n v="7584"/>
    <x v="2"/>
    <x v="1"/>
  </r>
  <r>
    <s v="27.02.2026"/>
    <x v="0"/>
    <x v="0"/>
    <x v="0"/>
    <n v="195"/>
    <n v="80"/>
    <n v="48"/>
    <n v="15600"/>
    <n v="6240"/>
    <x v="0"/>
    <x v="1"/>
  </r>
  <r>
    <s v="21.02.2026"/>
    <x v="1"/>
    <x v="1"/>
    <x v="0"/>
    <n v="160"/>
    <n v="250"/>
    <n v="150"/>
    <n v="40000"/>
    <n v="16000"/>
    <x v="0"/>
    <x v="1"/>
  </r>
  <r>
    <s v="12.01.2026"/>
    <x v="0"/>
    <x v="0"/>
    <x v="4"/>
    <n v="277"/>
    <n v="80"/>
    <n v="48"/>
    <n v="22160"/>
    <n v="8864"/>
    <x v="1"/>
    <x v="0"/>
  </r>
  <r>
    <s v="08.02.2026"/>
    <x v="0"/>
    <x v="0"/>
    <x v="1"/>
    <n v="160"/>
    <n v="80"/>
    <n v="48"/>
    <n v="12800"/>
    <n v="512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26405-85F8-4391-9F0C-2AEA4B0911E4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30">
  <location ref="A4:B10" firstHeaderRow="1" firstDataRow="1" firstDataCol="1" rowPageCount="2" colPageCount="1"/>
  <pivotFields count="11">
    <pivotField compact="0" outline="0" showAll="0" defaultSubtotal="0"/>
    <pivotField axis="axisRow" compact="0" outline="0" showAll="0" sortType="ascending" defaultSubtotal="0">
      <items count="5">
        <item x="0"/>
        <item x="3"/>
        <item x="1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5">
        <item x="2"/>
        <item x="1"/>
        <item x="4"/>
        <item x="3"/>
        <item x="0"/>
      </items>
    </pivotField>
    <pivotField axis="axisPage" compact="0" outline="0" showAll="0" defaultSubtotal="0">
      <items count="5">
        <item x="2"/>
        <item x="1"/>
        <item x="0"/>
        <item x="4"/>
        <item x="3"/>
      </items>
    </pivotField>
    <pivotField compact="0" outline="0" showAll="0" defaultSubtotal="0"/>
    <pivotField compact="0" numFmtId="42" outline="0" showAll="0" defaultSubtotal="0"/>
    <pivotField compact="0" numFmtId="42" outline="0" showAll="0" defaultSubtotal="0"/>
    <pivotField dataField="1" compact="0" numFmtId="42" outline="0" showAll="0" defaultSubtotal="0"/>
    <pivotField compact="0" numFmtId="42" outline="0" showAll="0" defaultSubtotal="0"/>
    <pivotField axis="axisPage" compact="0" outline="0" showAll="0" sortType="ascending" defaultSubtotal="0">
      <items count="3">
        <item x="1"/>
        <item x="0"/>
        <item x="2"/>
      </items>
    </pivotField>
    <pivotField compact="0" outline="0" showAll="0" defaultSubtotal="0"/>
  </pivotFields>
  <rowFields count="1">
    <field x="1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pageFields count="2">
    <pageField fld="9" hier="-1"/>
    <pageField fld="3" hier="-1"/>
  </pageFields>
  <dataFields count="1">
    <dataField name="Сумма по полю Выручка" fld="7" baseField="0" baseItem="0" numFmtId="164"/>
  </dataFields>
  <formats count="2">
    <format dxfId="15">
      <pivotArea outline="0" fieldPosition="0">
        <references count="1">
          <reference field="1" count="0" selected="0"/>
        </references>
      </pivotArea>
    </format>
    <format dxfId="14">
      <pivotArea outline="0" collapsedLevelsAreSubtotals="1" fieldPosition="0"/>
    </format>
  </formats>
  <chartFormats count="2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8D53B-2CF6-4A0A-8EE9-D1D2E482DEE9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29">
  <location ref="D2:E8" firstHeaderRow="1" firstDataRow="1" firstDataCol="1"/>
  <pivotFields count="11">
    <pivotField compact="0" outline="0" showAll="0"/>
    <pivotField compact="0" outline="0" showAll="0">
      <items count="6">
        <item x="0"/>
        <item x="3"/>
        <item x="1"/>
        <item x="4"/>
        <item x="2"/>
        <item t="default"/>
      </items>
    </pivotField>
    <pivotField compact="0" outline="0" showAll="0"/>
    <pivotField axis="axisRow" compact="0" outline="0" showAll="0" sortType="a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3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Сумма по полю Выручка" fld="7" baseField="0" baseItem="0" numFmtId="164"/>
  </dataFields>
  <formats count="1">
    <format dxfId="16">
      <pivotArea outline="0" collapsedLevelsAreSubtotals="1" fieldPosition="0"/>
    </format>
  </formats>
  <chartFormats count="30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" xr10:uid="{517DE0AC-D6CC-4AD5-A20A-6D5BBE46BD7C}" sourceName="Месяц">
  <pivotTables>
    <pivotTable tabId="2" name="Сводная таблица2"/>
    <pivotTable tabId="2" name="Сводная таблица3"/>
  </pivotTables>
  <data>
    <tabular pivotCacheId="152407969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есяц" xr10:uid="{8451CBB4-886F-4940-A91C-6AED799D97DD}" cache="Срез_Месяц" caption="Месяц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96C942-ACAD-44C1-8227-1D1C4B42EAC4}" name="Таблица4" displayName="Таблица4" ref="A2:J202" totalsRowShown="0" headerRowDxfId="28">
  <autoFilter ref="A2:J202" xr:uid="{F596C942-ACAD-44C1-8227-1D1C4B42EAC4}">
    <filterColumn colId="9">
      <filters>
        <filter val="Март"/>
      </filters>
    </filterColumn>
  </autoFilter>
  <sortState xmlns:xlrd2="http://schemas.microsoft.com/office/spreadsheetml/2017/richdata2" ref="A3:J202">
    <sortCondition descending="1" ref="H2:H202"/>
  </sortState>
  <tableColumns count="10">
    <tableColumn id="1" xr3:uid="{ACB49538-48FF-46D8-A961-3CA43B458191}" name="Дата"/>
    <tableColumn id="2" xr3:uid="{5947B34A-B356-4A06-B373-32835626639B}" name="Продукт"/>
    <tableColumn id="3" xr3:uid="{441A9259-0922-4C3F-8865-C7F1DF50619B}" name="Категория"/>
    <tableColumn id="4" xr3:uid="{D67E3886-C7EB-413B-A565-87EDD5C2D642}" name="Регион"/>
    <tableColumn id="5" xr3:uid="{764456E2-96FB-4FAE-9A09-1980EB7565FF}" name="Объем (уп)"/>
    <tableColumn id="6" xr3:uid="{42BF004E-CFC6-4EEC-897B-0D2299490245}" name="Цена" dataDxfId="27"/>
    <tableColumn id="7" xr3:uid="{DDD3692F-BF50-45F7-B2E9-01356FEE6BC8}" name="Себестоимость" dataDxfId="26"/>
    <tableColumn id="8" xr3:uid="{DABCBCC2-9D39-4828-98A3-61C72577F6DE}" name="Выручка" dataDxfId="25"/>
    <tableColumn id="9" xr3:uid="{AA505608-F78D-4A70-83D4-87E8D8349911}" name="Маржа" dataDxfId="24"/>
    <tableColumn id="10" xr3:uid="{0ECB6020-987E-4D02-B357-0A86D6373033}" name="Месяц">
      <calculatedColumnFormula>TEXT(A3,"ММММ")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811123-70D2-42B7-91F2-94EEF293D9AC}" name="Таблица2" displayName="Таблица2" ref="A1:E6" totalsRowShown="0" headerRowBorderDxfId="23" tableBorderDxfId="22">
  <autoFilter ref="A1:E6" xr:uid="{C4811123-70D2-42B7-91F2-94EEF293D9AC}"/>
  <tableColumns count="5">
    <tableColumn id="1" xr3:uid="{21F26FD7-5ED3-4B63-BC10-050B0A293E01}" name="Продукт" dataDxfId="21"/>
    <tableColumn id="2" xr3:uid="{D5F74E0D-502C-41B8-A8C5-B5DDDDC00908}" name="План " dataDxfId="20">
      <calculatedColumnFormula>VLOOKUP(A2,'План на квартал'!$A$1:$B$7,2,0)</calculatedColumnFormula>
    </tableColumn>
    <tableColumn id="3" xr3:uid="{B1CFC158-957C-4956-BAE5-1298DA9751E9}" name="Факт" dataDxfId="19">
      <calculatedColumnFormula>SUMIF(Данные!B:B,A2,Данные!H:H)</calculatedColumnFormula>
    </tableColumn>
    <tableColumn id="4" xr3:uid="{DBDDC579-901B-45D4-83C5-87D2A352FD53}" name="Отклонение" dataDxfId="18">
      <calculatedColumnFormula>C2-B2</calculatedColumnFormula>
    </tableColumn>
    <tableColumn id="5" xr3:uid="{EBEDCE28-9F8C-4590-AF48-5F65FF14C5FC}" name="% " dataDxfId="17">
      <calculatedColumnFormula>C2/B2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workbookViewId="0">
      <selection activeCell="K11" sqref="K11"/>
    </sheetView>
  </sheetViews>
  <sheetFormatPr defaultRowHeight="15" customHeight="1" x14ac:dyDescent="0.3"/>
  <cols>
    <col min="1" max="1" width="10.5546875" bestFit="1" customWidth="1"/>
    <col min="2" max="2" width="12" bestFit="1" customWidth="1"/>
    <col min="3" max="3" width="14" bestFit="1" customWidth="1"/>
    <col min="4" max="4" width="11.109375" bestFit="1" customWidth="1"/>
    <col min="5" max="5" width="14.88671875" bestFit="1" customWidth="1"/>
    <col min="6" max="6" width="10.44140625" style="3" bestFit="1" customWidth="1"/>
    <col min="7" max="7" width="19.5546875" style="3" bestFit="1" customWidth="1"/>
    <col min="8" max="8" width="12.5546875" style="3" bestFit="1" customWidth="1"/>
    <col min="9" max="9" width="12.109375" style="3" bestFit="1" customWidth="1"/>
    <col min="10" max="10" width="9.88671875" bestFit="1" customWidth="1"/>
    <col min="11" max="11" width="10.6640625" bestFit="1" customWidth="1"/>
  </cols>
  <sheetData>
    <row r="1" spans="1:10" ht="14.4" customHeight="1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4.4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2" t="s">
        <v>10</v>
      </c>
    </row>
    <row r="3" spans="1:10" ht="14.4" hidden="1" x14ac:dyDescent="0.3">
      <c r="A3" t="s">
        <v>11</v>
      </c>
      <c r="B3" t="s">
        <v>12</v>
      </c>
      <c r="C3" t="s">
        <v>13</v>
      </c>
      <c r="D3" t="s">
        <v>14</v>
      </c>
      <c r="E3">
        <v>495</v>
      </c>
      <c r="F3" s="3">
        <v>80</v>
      </c>
      <c r="G3" s="3">
        <v>48</v>
      </c>
      <c r="H3" s="3">
        <v>39600</v>
      </c>
      <c r="I3" s="3">
        <v>15840</v>
      </c>
      <c r="J3" s="1" t="str">
        <f>TEXT(A3,"ММММ")</f>
        <v>Февраль</v>
      </c>
    </row>
    <row r="4" spans="1:10" ht="14.4" hidden="1" x14ac:dyDescent="0.3">
      <c r="A4" t="s">
        <v>15</v>
      </c>
      <c r="B4" t="s">
        <v>16</v>
      </c>
      <c r="C4" t="s">
        <v>17</v>
      </c>
      <c r="D4" t="s">
        <v>14</v>
      </c>
      <c r="E4">
        <v>498</v>
      </c>
      <c r="F4" s="3">
        <v>250</v>
      </c>
      <c r="G4" s="3">
        <v>150</v>
      </c>
      <c r="H4" s="3">
        <v>124500</v>
      </c>
      <c r="I4" s="3">
        <v>49800</v>
      </c>
      <c r="J4" t="str">
        <f t="shared" ref="J4" si="0">TEXT(A4,"ММММ")</f>
        <v>Январь</v>
      </c>
    </row>
    <row r="5" spans="1:10" ht="14.4" x14ac:dyDescent="0.3">
      <c r="A5" t="s">
        <v>18</v>
      </c>
      <c r="B5" t="s">
        <v>19</v>
      </c>
      <c r="C5" t="s">
        <v>20</v>
      </c>
      <c r="D5" t="s">
        <v>14</v>
      </c>
      <c r="E5">
        <v>484</v>
      </c>
      <c r="F5" s="3">
        <v>300</v>
      </c>
      <c r="G5" s="3">
        <v>180</v>
      </c>
      <c r="H5" s="3">
        <v>145200</v>
      </c>
      <c r="I5" s="3">
        <v>58080</v>
      </c>
      <c r="J5" t="str">
        <f t="shared" ref="J5:J36" si="1">TEXT(A5,"ММММ")</f>
        <v>Март</v>
      </c>
    </row>
    <row r="6" spans="1:10" ht="14.4" x14ac:dyDescent="0.3">
      <c r="A6" t="s">
        <v>21</v>
      </c>
      <c r="B6" t="s">
        <v>16</v>
      </c>
      <c r="C6" t="s">
        <v>17</v>
      </c>
      <c r="D6" t="s">
        <v>14</v>
      </c>
      <c r="E6">
        <v>447</v>
      </c>
      <c r="F6" s="3">
        <v>250</v>
      </c>
      <c r="G6" s="3">
        <v>150</v>
      </c>
      <c r="H6" s="3">
        <v>111750</v>
      </c>
      <c r="I6" s="3">
        <v>44700</v>
      </c>
      <c r="J6" t="str">
        <f t="shared" si="1"/>
        <v>Март</v>
      </c>
    </row>
    <row r="7" spans="1:10" ht="14.4" hidden="1" x14ac:dyDescent="0.3">
      <c r="A7" t="s">
        <v>22</v>
      </c>
      <c r="B7" t="s">
        <v>12</v>
      </c>
      <c r="C7" t="s">
        <v>13</v>
      </c>
      <c r="D7" t="s">
        <v>23</v>
      </c>
      <c r="E7">
        <v>83</v>
      </c>
      <c r="F7" s="3">
        <v>80</v>
      </c>
      <c r="G7" s="3">
        <v>48</v>
      </c>
      <c r="H7" s="3">
        <v>6640</v>
      </c>
      <c r="I7" s="3">
        <v>2656</v>
      </c>
      <c r="J7" t="str">
        <f t="shared" si="1"/>
        <v>Январь</v>
      </c>
    </row>
    <row r="8" spans="1:10" ht="14.4" x14ac:dyDescent="0.3">
      <c r="A8" t="s">
        <v>24</v>
      </c>
      <c r="B8" t="s">
        <v>16</v>
      </c>
      <c r="C8" t="s">
        <v>17</v>
      </c>
      <c r="D8" t="s">
        <v>14</v>
      </c>
      <c r="E8">
        <v>418</v>
      </c>
      <c r="F8" s="3">
        <v>250</v>
      </c>
      <c r="G8" s="3">
        <v>150</v>
      </c>
      <c r="H8" s="3">
        <v>104500</v>
      </c>
      <c r="I8" s="3">
        <v>41800</v>
      </c>
      <c r="J8" t="str">
        <f t="shared" si="1"/>
        <v>Март</v>
      </c>
    </row>
    <row r="9" spans="1:10" ht="14.4" x14ac:dyDescent="0.3">
      <c r="A9" t="s">
        <v>25</v>
      </c>
      <c r="B9" t="s">
        <v>16</v>
      </c>
      <c r="C9" t="s">
        <v>17</v>
      </c>
      <c r="D9" t="s">
        <v>26</v>
      </c>
      <c r="E9">
        <v>414</v>
      </c>
      <c r="F9" s="3">
        <v>250</v>
      </c>
      <c r="G9" s="3">
        <v>150</v>
      </c>
      <c r="H9" s="3">
        <v>103500</v>
      </c>
      <c r="I9" s="3">
        <v>41400</v>
      </c>
      <c r="J9" t="str">
        <f t="shared" si="1"/>
        <v>Март</v>
      </c>
    </row>
    <row r="10" spans="1:10" ht="14.4" x14ac:dyDescent="0.3">
      <c r="A10" t="s">
        <v>27</v>
      </c>
      <c r="B10" t="s">
        <v>16</v>
      </c>
      <c r="C10" t="s">
        <v>17</v>
      </c>
      <c r="D10" t="s">
        <v>26</v>
      </c>
      <c r="E10">
        <v>396</v>
      </c>
      <c r="F10" s="3">
        <v>250</v>
      </c>
      <c r="G10" s="3">
        <v>150</v>
      </c>
      <c r="H10" s="3">
        <v>99000</v>
      </c>
      <c r="I10" s="3">
        <v>39600</v>
      </c>
      <c r="J10" t="str">
        <f t="shared" si="1"/>
        <v>Март</v>
      </c>
    </row>
    <row r="11" spans="1:10" ht="14.4" x14ac:dyDescent="0.3">
      <c r="A11" t="s">
        <v>28</v>
      </c>
      <c r="B11" t="s">
        <v>16</v>
      </c>
      <c r="C11" t="s">
        <v>17</v>
      </c>
      <c r="D11" t="s">
        <v>23</v>
      </c>
      <c r="E11">
        <v>366</v>
      </c>
      <c r="F11" s="3">
        <v>250</v>
      </c>
      <c r="G11" s="3">
        <v>150</v>
      </c>
      <c r="H11" s="3">
        <v>91500</v>
      </c>
      <c r="I11" s="3">
        <v>36600</v>
      </c>
      <c r="J11" t="str">
        <f t="shared" si="1"/>
        <v>Март</v>
      </c>
    </row>
    <row r="12" spans="1:10" ht="14.4" x14ac:dyDescent="0.3">
      <c r="A12" t="s">
        <v>29</v>
      </c>
      <c r="B12" t="s">
        <v>19</v>
      </c>
      <c r="C12" t="s">
        <v>20</v>
      </c>
      <c r="D12" t="s">
        <v>14</v>
      </c>
      <c r="E12">
        <v>300</v>
      </c>
      <c r="F12" s="3">
        <v>300</v>
      </c>
      <c r="G12" s="3">
        <v>180</v>
      </c>
      <c r="H12" s="3">
        <v>90000</v>
      </c>
      <c r="I12" s="3">
        <v>36000</v>
      </c>
      <c r="J12" t="str">
        <f t="shared" si="1"/>
        <v>Март</v>
      </c>
    </row>
    <row r="13" spans="1:10" ht="14.4" hidden="1" x14ac:dyDescent="0.3">
      <c r="A13" t="s">
        <v>30</v>
      </c>
      <c r="B13" t="s">
        <v>16</v>
      </c>
      <c r="C13" t="s">
        <v>17</v>
      </c>
      <c r="D13" t="s">
        <v>31</v>
      </c>
      <c r="E13">
        <v>299</v>
      </c>
      <c r="F13" s="3">
        <v>250</v>
      </c>
      <c r="G13" s="3">
        <v>150</v>
      </c>
      <c r="H13" s="3">
        <v>74750</v>
      </c>
      <c r="I13" s="3">
        <v>29900</v>
      </c>
      <c r="J13" t="str">
        <f t="shared" si="1"/>
        <v>Январь</v>
      </c>
    </row>
    <row r="14" spans="1:10" ht="14.4" hidden="1" x14ac:dyDescent="0.3">
      <c r="A14" t="s">
        <v>32</v>
      </c>
      <c r="B14" t="s">
        <v>12</v>
      </c>
      <c r="C14" t="s">
        <v>13</v>
      </c>
      <c r="D14" t="s">
        <v>14</v>
      </c>
      <c r="E14">
        <v>211</v>
      </c>
      <c r="F14" s="3">
        <v>80</v>
      </c>
      <c r="G14" s="3">
        <v>48</v>
      </c>
      <c r="H14" s="3">
        <v>16880</v>
      </c>
      <c r="I14" s="3">
        <v>6752</v>
      </c>
      <c r="J14" t="str">
        <f t="shared" si="1"/>
        <v>Январь</v>
      </c>
    </row>
    <row r="15" spans="1:10" ht="14.4" hidden="1" x14ac:dyDescent="0.3">
      <c r="A15" t="s">
        <v>33</v>
      </c>
      <c r="B15" t="s">
        <v>34</v>
      </c>
      <c r="C15" t="s">
        <v>35</v>
      </c>
      <c r="D15" t="s">
        <v>14</v>
      </c>
      <c r="E15">
        <v>487</v>
      </c>
      <c r="F15" s="3">
        <v>150</v>
      </c>
      <c r="G15" s="3">
        <v>90</v>
      </c>
      <c r="H15" s="3">
        <v>73050</v>
      </c>
      <c r="I15" s="3">
        <v>29220</v>
      </c>
      <c r="J15" t="str">
        <f t="shared" si="1"/>
        <v>Январь</v>
      </c>
    </row>
    <row r="16" spans="1:10" ht="14.4" hidden="1" x14ac:dyDescent="0.3">
      <c r="A16" t="s">
        <v>36</v>
      </c>
      <c r="B16" t="s">
        <v>16</v>
      </c>
      <c r="C16" t="s">
        <v>17</v>
      </c>
      <c r="D16" t="s">
        <v>23</v>
      </c>
      <c r="E16">
        <v>167</v>
      </c>
      <c r="F16" s="3">
        <v>250</v>
      </c>
      <c r="G16" s="3">
        <v>150</v>
      </c>
      <c r="H16" s="3">
        <v>41750</v>
      </c>
      <c r="I16" s="3">
        <v>16700</v>
      </c>
      <c r="J16" t="str">
        <f t="shared" si="1"/>
        <v>Февраль</v>
      </c>
    </row>
    <row r="17" spans="1:10" ht="14.4" hidden="1" x14ac:dyDescent="0.3">
      <c r="A17" t="s">
        <v>37</v>
      </c>
      <c r="B17" t="s">
        <v>38</v>
      </c>
      <c r="C17" t="s">
        <v>39</v>
      </c>
      <c r="D17" t="s">
        <v>14</v>
      </c>
      <c r="E17">
        <v>308</v>
      </c>
      <c r="F17" s="3">
        <v>120</v>
      </c>
      <c r="G17" s="3">
        <v>72</v>
      </c>
      <c r="H17" s="3">
        <v>36960</v>
      </c>
      <c r="I17" s="3">
        <v>14784</v>
      </c>
      <c r="J17" t="str">
        <f t="shared" si="1"/>
        <v>Январь</v>
      </c>
    </row>
    <row r="18" spans="1:10" ht="14.4" x14ac:dyDescent="0.3">
      <c r="A18" t="s">
        <v>18</v>
      </c>
      <c r="B18" t="s">
        <v>19</v>
      </c>
      <c r="C18" t="s">
        <v>20</v>
      </c>
      <c r="D18" t="s">
        <v>31</v>
      </c>
      <c r="E18">
        <v>296</v>
      </c>
      <c r="F18" s="3">
        <v>300</v>
      </c>
      <c r="G18" s="3">
        <v>180</v>
      </c>
      <c r="H18" s="3">
        <v>88800</v>
      </c>
      <c r="I18" s="3">
        <v>35520</v>
      </c>
      <c r="J18" t="str">
        <f t="shared" si="1"/>
        <v>Март</v>
      </c>
    </row>
    <row r="19" spans="1:10" ht="14.4" hidden="1" x14ac:dyDescent="0.3">
      <c r="A19" t="s">
        <v>40</v>
      </c>
      <c r="B19" t="s">
        <v>16</v>
      </c>
      <c r="C19" t="s">
        <v>17</v>
      </c>
      <c r="D19" t="s">
        <v>26</v>
      </c>
      <c r="E19">
        <v>355</v>
      </c>
      <c r="F19" s="3">
        <v>250</v>
      </c>
      <c r="G19" s="3">
        <v>150</v>
      </c>
      <c r="H19" s="3">
        <v>88750</v>
      </c>
      <c r="I19" s="3">
        <v>35500</v>
      </c>
      <c r="J19" t="str">
        <f t="shared" si="1"/>
        <v>Январь</v>
      </c>
    </row>
    <row r="20" spans="1:10" ht="14.4" hidden="1" x14ac:dyDescent="0.3">
      <c r="A20" t="s">
        <v>41</v>
      </c>
      <c r="B20" t="s">
        <v>38</v>
      </c>
      <c r="C20" t="s">
        <v>39</v>
      </c>
      <c r="D20" t="s">
        <v>23</v>
      </c>
      <c r="E20">
        <v>317</v>
      </c>
      <c r="F20" s="3">
        <v>120</v>
      </c>
      <c r="G20" s="3">
        <v>72</v>
      </c>
      <c r="H20" s="3">
        <v>38040</v>
      </c>
      <c r="I20" s="3">
        <v>15216</v>
      </c>
      <c r="J20" t="str">
        <f t="shared" si="1"/>
        <v>Февраль</v>
      </c>
    </row>
    <row r="21" spans="1:10" ht="14.4" hidden="1" x14ac:dyDescent="0.3">
      <c r="A21" t="s">
        <v>37</v>
      </c>
      <c r="B21" t="s">
        <v>16</v>
      </c>
      <c r="C21" t="s">
        <v>17</v>
      </c>
      <c r="D21" t="s">
        <v>14</v>
      </c>
      <c r="E21">
        <v>498</v>
      </c>
      <c r="F21" s="3">
        <v>250</v>
      </c>
      <c r="G21" s="3">
        <v>150</v>
      </c>
      <c r="H21" s="3">
        <v>124500</v>
      </c>
      <c r="I21" s="3">
        <v>49800</v>
      </c>
      <c r="J21" t="str">
        <f t="shared" si="1"/>
        <v>Январь</v>
      </c>
    </row>
    <row r="22" spans="1:10" ht="14.4" x14ac:dyDescent="0.3">
      <c r="A22" t="s">
        <v>42</v>
      </c>
      <c r="B22" t="s">
        <v>16</v>
      </c>
      <c r="C22" t="s">
        <v>17</v>
      </c>
      <c r="D22" t="s">
        <v>23</v>
      </c>
      <c r="E22">
        <v>337</v>
      </c>
      <c r="F22" s="3">
        <v>250</v>
      </c>
      <c r="G22" s="3">
        <v>150</v>
      </c>
      <c r="H22" s="3">
        <v>84250</v>
      </c>
      <c r="I22" s="3">
        <v>33700</v>
      </c>
      <c r="J22" t="str">
        <f t="shared" si="1"/>
        <v>Март</v>
      </c>
    </row>
    <row r="23" spans="1:10" ht="14.4" x14ac:dyDescent="0.3">
      <c r="A23" t="s">
        <v>21</v>
      </c>
      <c r="B23" t="s">
        <v>19</v>
      </c>
      <c r="C23" t="s">
        <v>20</v>
      </c>
      <c r="D23" t="s">
        <v>14</v>
      </c>
      <c r="E23">
        <v>276</v>
      </c>
      <c r="F23" s="3">
        <v>300</v>
      </c>
      <c r="G23" s="3">
        <v>180</v>
      </c>
      <c r="H23" s="3">
        <v>82800</v>
      </c>
      <c r="I23" s="3">
        <v>33120</v>
      </c>
      <c r="J23" t="str">
        <f t="shared" si="1"/>
        <v>Март</v>
      </c>
    </row>
    <row r="24" spans="1:10" ht="14.4" hidden="1" x14ac:dyDescent="0.3">
      <c r="A24" t="s">
        <v>22</v>
      </c>
      <c r="B24" t="s">
        <v>12</v>
      </c>
      <c r="C24" t="s">
        <v>13</v>
      </c>
      <c r="D24" t="s">
        <v>23</v>
      </c>
      <c r="E24">
        <v>438</v>
      </c>
      <c r="F24" s="3">
        <v>80</v>
      </c>
      <c r="G24" s="3">
        <v>48</v>
      </c>
      <c r="H24" s="3">
        <v>35040</v>
      </c>
      <c r="I24" s="3">
        <v>14016</v>
      </c>
      <c r="J24" t="str">
        <f t="shared" si="1"/>
        <v>Январь</v>
      </c>
    </row>
    <row r="25" spans="1:10" ht="14.4" hidden="1" x14ac:dyDescent="0.3">
      <c r="A25" t="s">
        <v>43</v>
      </c>
      <c r="B25" t="s">
        <v>16</v>
      </c>
      <c r="C25" t="s">
        <v>17</v>
      </c>
      <c r="D25" t="s">
        <v>26</v>
      </c>
      <c r="E25">
        <v>271</v>
      </c>
      <c r="F25" s="3">
        <v>250</v>
      </c>
      <c r="G25" s="3">
        <v>150</v>
      </c>
      <c r="H25" s="3">
        <v>67750</v>
      </c>
      <c r="I25" s="3">
        <v>27100</v>
      </c>
      <c r="J25" t="str">
        <f t="shared" si="1"/>
        <v>Февраль</v>
      </c>
    </row>
    <row r="26" spans="1:10" ht="14.4" x14ac:dyDescent="0.3">
      <c r="A26" t="s">
        <v>44</v>
      </c>
      <c r="B26" t="s">
        <v>16</v>
      </c>
      <c r="C26" t="s">
        <v>17</v>
      </c>
      <c r="D26" t="s">
        <v>14</v>
      </c>
      <c r="E26">
        <v>331</v>
      </c>
      <c r="F26" s="3">
        <v>250</v>
      </c>
      <c r="G26" s="3">
        <v>150</v>
      </c>
      <c r="H26" s="3">
        <v>82750</v>
      </c>
      <c r="I26" s="3">
        <v>33100</v>
      </c>
      <c r="J26" t="str">
        <f t="shared" si="1"/>
        <v>Март</v>
      </c>
    </row>
    <row r="27" spans="1:10" ht="14.4" hidden="1" x14ac:dyDescent="0.3">
      <c r="A27" t="s">
        <v>45</v>
      </c>
      <c r="B27" t="s">
        <v>16</v>
      </c>
      <c r="C27" t="s">
        <v>17</v>
      </c>
      <c r="D27" t="s">
        <v>26</v>
      </c>
      <c r="E27">
        <v>362</v>
      </c>
      <c r="F27" s="3">
        <v>250</v>
      </c>
      <c r="G27" s="3">
        <v>150</v>
      </c>
      <c r="H27" s="3">
        <v>90500</v>
      </c>
      <c r="I27" s="3">
        <v>36200</v>
      </c>
      <c r="J27" t="str">
        <f t="shared" si="1"/>
        <v>Февраль</v>
      </c>
    </row>
    <row r="28" spans="1:10" ht="14.4" hidden="1" x14ac:dyDescent="0.3">
      <c r="A28" t="s">
        <v>33</v>
      </c>
      <c r="B28" t="s">
        <v>16</v>
      </c>
      <c r="C28" t="s">
        <v>17</v>
      </c>
      <c r="D28" t="s">
        <v>26</v>
      </c>
      <c r="E28">
        <v>450</v>
      </c>
      <c r="F28" s="3">
        <v>250</v>
      </c>
      <c r="G28" s="3">
        <v>150</v>
      </c>
      <c r="H28" s="3">
        <v>112500</v>
      </c>
      <c r="I28" s="3">
        <v>45000</v>
      </c>
      <c r="J28" t="str">
        <f t="shared" si="1"/>
        <v>Январь</v>
      </c>
    </row>
    <row r="29" spans="1:10" ht="14.4" x14ac:dyDescent="0.3">
      <c r="A29" t="s">
        <v>46</v>
      </c>
      <c r="B29" t="s">
        <v>16</v>
      </c>
      <c r="C29" t="s">
        <v>17</v>
      </c>
      <c r="D29" t="s">
        <v>26</v>
      </c>
      <c r="E29">
        <v>323</v>
      </c>
      <c r="F29" s="3">
        <v>250</v>
      </c>
      <c r="G29" s="3">
        <v>150</v>
      </c>
      <c r="H29" s="3">
        <v>80750</v>
      </c>
      <c r="I29" s="3">
        <v>32300</v>
      </c>
      <c r="J29" t="str">
        <f t="shared" si="1"/>
        <v>Март</v>
      </c>
    </row>
    <row r="30" spans="1:10" ht="14.4" hidden="1" x14ac:dyDescent="0.3">
      <c r="A30" t="s">
        <v>47</v>
      </c>
      <c r="B30" t="s">
        <v>12</v>
      </c>
      <c r="C30" t="s">
        <v>13</v>
      </c>
      <c r="D30" t="s">
        <v>14</v>
      </c>
      <c r="E30">
        <v>304</v>
      </c>
      <c r="F30" s="3">
        <v>80</v>
      </c>
      <c r="G30" s="3">
        <v>48</v>
      </c>
      <c r="H30" s="3">
        <v>24320</v>
      </c>
      <c r="I30" s="3">
        <v>9728</v>
      </c>
      <c r="J30" t="str">
        <f t="shared" si="1"/>
        <v>Февраль</v>
      </c>
    </row>
    <row r="31" spans="1:10" ht="14.4" hidden="1" x14ac:dyDescent="0.3">
      <c r="A31" t="s">
        <v>48</v>
      </c>
      <c r="B31" t="s">
        <v>38</v>
      </c>
      <c r="C31" t="s">
        <v>39</v>
      </c>
      <c r="D31" t="s">
        <v>14</v>
      </c>
      <c r="E31">
        <v>352</v>
      </c>
      <c r="F31" s="3">
        <v>120</v>
      </c>
      <c r="G31" s="3">
        <v>72</v>
      </c>
      <c r="H31" s="3">
        <v>42240</v>
      </c>
      <c r="I31" s="3">
        <v>16896</v>
      </c>
      <c r="J31" t="str">
        <f t="shared" si="1"/>
        <v>Февраль</v>
      </c>
    </row>
    <row r="32" spans="1:10" ht="14.4" hidden="1" x14ac:dyDescent="0.3">
      <c r="A32" t="s">
        <v>49</v>
      </c>
      <c r="B32" t="s">
        <v>16</v>
      </c>
      <c r="C32" t="s">
        <v>17</v>
      </c>
      <c r="D32" t="s">
        <v>14</v>
      </c>
      <c r="E32">
        <v>456</v>
      </c>
      <c r="F32" s="3">
        <v>250</v>
      </c>
      <c r="G32" s="3">
        <v>150</v>
      </c>
      <c r="H32" s="3">
        <v>114000</v>
      </c>
      <c r="I32" s="3">
        <v>45600</v>
      </c>
      <c r="J32" t="str">
        <f t="shared" si="1"/>
        <v>Февраль</v>
      </c>
    </row>
    <row r="33" spans="1:10" ht="14.4" x14ac:dyDescent="0.3">
      <c r="A33" t="s">
        <v>50</v>
      </c>
      <c r="B33" t="s">
        <v>16</v>
      </c>
      <c r="C33" t="s">
        <v>17</v>
      </c>
      <c r="D33" t="s">
        <v>51</v>
      </c>
      <c r="E33">
        <v>322</v>
      </c>
      <c r="F33" s="3">
        <v>250</v>
      </c>
      <c r="G33" s="3">
        <v>150</v>
      </c>
      <c r="H33" s="3">
        <v>80500</v>
      </c>
      <c r="I33" s="3">
        <v>32200</v>
      </c>
      <c r="J33" t="str">
        <f t="shared" si="1"/>
        <v>Март</v>
      </c>
    </row>
    <row r="34" spans="1:10" ht="14.4" x14ac:dyDescent="0.3">
      <c r="A34" t="s">
        <v>52</v>
      </c>
      <c r="B34" t="s">
        <v>16</v>
      </c>
      <c r="C34" t="s">
        <v>17</v>
      </c>
      <c r="D34" t="s">
        <v>23</v>
      </c>
      <c r="E34">
        <v>306</v>
      </c>
      <c r="F34" s="3">
        <v>250</v>
      </c>
      <c r="G34" s="3">
        <v>150</v>
      </c>
      <c r="H34" s="3">
        <v>76500</v>
      </c>
      <c r="I34" s="3">
        <v>30600</v>
      </c>
      <c r="J34" t="str">
        <f t="shared" si="1"/>
        <v>Март</v>
      </c>
    </row>
    <row r="35" spans="1:10" ht="14.4" hidden="1" x14ac:dyDescent="0.3">
      <c r="A35" t="s">
        <v>15</v>
      </c>
      <c r="B35" t="s">
        <v>12</v>
      </c>
      <c r="C35" t="s">
        <v>13</v>
      </c>
      <c r="D35" t="s">
        <v>14</v>
      </c>
      <c r="E35">
        <v>390</v>
      </c>
      <c r="F35" s="3">
        <v>80</v>
      </c>
      <c r="G35" s="3">
        <v>48</v>
      </c>
      <c r="H35" s="3">
        <v>31200</v>
      </c>
      <c r="I35" s="3">
        <v>12480</v>
      </c>
      <c r="J35" t="str">
        <f t="shared" si="1"/>
        <v>Январь</v>
      </c>
    </row>
    <row r="36" spans="1:10" ht="14.4" x14ac:dyDescent="0.3">
      <c r="A36" t="s">
        <v>53</v>
      </c>
      <c r="B36" t="s">
        <v>16</v>
      </c>
      <c r="C36" t="s">
        <v>17</v>
      </c>
      <c r="D36" t="s">
        <v>14</v>
      </c>
      <c r="E36">
        <v>298</v>
      </c>
      <c r="F36" s="3">
        <v>250</v>
      </c>
      <c r="G36" s="3">
        <v>150</v>
      </c>
      <c r="H36" s="3">
        <v>74500</v>
      </c>
      <c r="I36" s="3">
        <v>29800</v>
      </c>
      <c r="J36" t="str">
        <f t="shared" si="1"/>
        <v>Март</v>
      </c>
    </row>
    <row r="37" spans="1:10" ht="14.4" x14ac:dyDescent="0.3">
      <c r="A37" t="s">
        <v>21</v>
      </c>
      <c r="B37" t="s">
        <v>34</v>
      </c>
      <c r="C37" t="s">
        <v>35</v>
      </c>
      <c r="D37" t="s">
        <v>51</v>
      </c>
      <c r="E37">
        <v>484</v>
      </c>
      <c r="F37" s="3">
        <v>150</v>
      </c>
      <c r="G37" s="3">
        <v>90</v>
      </c>
      <c r="H37" s="3">
        <v>72600</v>
      </c>
      <c r="I37" s="3">
        <v>29040</v>
      </c>
      <c r="J37" t="str">
        <f t="shared" ref="J37:J68" si="2">TEXT(A37,"ММММ")</f>
        <v>Март</v>
      </c>
    </row>
    <row r="38" spans="1:10" ht="14.4" hidden="1" x14ac:dyDescent="0.3">
      <c r="A38" t="s">
        <v>54</v>
      </c>
      <c r="B38" t="s">
        <v>16</v>
      </c>
      <c r="C38" t="s">
        <v>17</v>
      </c>
      <c r="D38" t="s">
        <v>14</v>
      </c>
      <c r="E38">
        <v>124</v>
      </c>
      <c r="F38" s="3">
        <v>250</v>
      </c>
      <c r="G38" s="3">
        <v>150</v>
      </c>
      <c r="H38" s="3">
        <v>31000</v>
      </c>
      <c r="I38" s="3">
        <v>12400</v>
      </c>
      <c r="J38" t="str">
        <f t="shared" si="2"/>
        <v>Февраль</v>
      </c>
    </row>
    <row r="39" spans="1:10" ht="14.4" x14ac:dyDescent="0.3">
      <c r="A39" t="s">
        <v>27</v>
      </c>
      <c r="B39" t="s">
        <v>34</v>
      </c>
      <c r="C39" t="s">
        <v>35</v>
      </c>
      <c r="D39" t="s">
        <v>14</v>
      </c>
      <c r="E39">
        <v>483</v>
      </c>
      <c r="F39" s="3">
        <v>150</v>
      </c>
      <c r="G39" s="3">
        <v>90</v>
      </c>
      <c r="H39" s="3">
        <v>72450</v>
      </c>
      <c r="I39" s="3">
        <v>28980</v>
      </c>
      <c r="J39" t="str">
        <f t="shared" si="2"/>
        <v>Март</v>
      </c>
    </row>
    <row r="40" spans="1:10" ht="14.4" hidden="1" x14ac:dyDescent="0.3">
      <c r="A40" t="s">
        <v>55</v>
      </c>
      <c r="B40" t="s">
        <v>16</v>
      </c>
      <c r="C40" t="s">
        <v>17</v>
      </c>
      <c r="D40" t="s">
        <v>14</v>
      </c>
      <c r="E40">
        <v>152</v>
      </c>
      <c r="F40" s="3">
        <v>250</v>
      </c>
      <c r="G40" s="3">
        <v>150</v>
      </c>
      <c r="H40" s="3">
        <v>38000</v>
      </c>
      <c r="I40" s="3">
        <v>15200</v>
      </c>
      <c r="J40" t="str">
        <f t="shared" si="2"/>
        <v>Февраль</v>
      </c>
    </row>
    <row r="41" spans="1:10" ht="14.4" hidden="1" x14ac:dyDescent="0.3">
      <c r="A41" t="s">
        <v>56</v>
      </c>
      <c r="B41" t="s">
        <v>16</v>
      </c>
      <c r="C41" t="s">
        <v>17</v>
      </c>
      <c r="D41" t="s">
        <v>14</v>
      </c>
      <c r="E41">
        <v>471</v>
      </c>
      <c r="F41" s="3">
        <v>250</v>
      </c>
      <c r="G41" s="3">
        <v>150</v>
      </c>
      <c r="H41" s="3">
        <v>117750</v>
      </c>
      <c r="I41" s="3">
        <v>47100</v>
      </c>
      <c r="J41" t="str">
        <f t="shared" si="2"/>
        <v>Февраль</v>
      </c>
    </row>
    <row r="42" spans="1:10" ht="14.4" x14ac:dyDescent="0.3">
      <c r="A42" t="s">
        <v>57</v>
      </c>
      <c r="B42" t="s">
        <v>16</v>
      </c>
      <c r="C42" t="s">
        <v>17</v>
      </c>
      <c r="D42" t="s">
        <v>31</v>
      </c>
      <c r="E42">
        <v>278</v>
      </c>
      <c r="F42" s="3">
        <v>250</v>
      </c>
      <c r="G42" s="3">
        <v>150</v>
      </c>
      <c r="H42" s="3">
        <v>69500</v>
      </c>
      <c r="I42" s="3">
        <v>27800</v>
      </c>
      <c r="J42" t="str">
        <f t="shared" si="2"/>
        <v>Март</v>
      </c>
    </row>
    <row r="43" spans="1:10" ht="14.4" hidden="1" x14ac:dyDescent="0.3">
      <c r="A43" t="s">
        <v>32</v>
      </c>
      <c r="B43" t="s">
        <v>34</v>
      </c>
      <c r="C43" t="s">
        <v>35</v>
      </c>
      <c r="D43" t="s">
        <v>23</v>
      </c>
      <c r="E43">
        <v>301</v>
      </c>
      <c r="F43" s="3">
        <v>150</v>
      </c>
      <c r="G43" s="3">
        <v>90</v>
      </c>
      <c r="H43" s="3">
        <v>45150</v>
      </c>
      <c r="I43" s="3">
        <v>18060</v>
      </c>
      <c r="J43" t="str">
        <f t="shared" si="2"/>
        <v>Январь</v>
      </c>
    </row>
    <row r="44" spans="1:10" ht="14.4" hidden="1" x14ac:dyDescent="0.3">
      <c r="A44" t="s">
        <v>55</v>
      </c>
      <c r="B44" t="s">
        <v>19</v>
      </c>
      <c r="C44" t="s">
        <v>20</v>
      </c>
      <c r="D44" t="s">
        <v>51</v>
      </c>
      <c r="E44">
        <v>275</v>
      </c>
      <c r="F44" s="3">
        <v>300</v>
      </c>
      <c r="G44" s="3">
        <v>180</v>
      </c>
      <c r="H44" s="3">
        <v>82500</v>
      </c>
      <c r="I44" s="3">
        <v>33000</v>
      </c>
      <c r="J44" t="str">
        <f t="shared" si="2"/>
        <v>Февраль</v>
      </c>
    </row>
    <row r="45" spans="1:10" ht="14.4" hidden="1" x14ac:dyDescent="0.3">
      <c r="A45" t="s">
        <v>58</v>
      </c>
      <c r="B45" t="s">
        <v>16</v>
      </c>
      <c r="C45" t="s">
        <v>17</v>
      </c>
      <c r="D45" t="s">
        <v>31</v>
      </c>
      <c r="E45">
        <v>343</v>
      </c>
      <c r="F45" s="3">
        <v>250</v>
      </c>
      <c r="G45" s="3">
        <v>150</v>
      </c>
      <c r="H45" s="3">
        <v>85750</v>
      </c>
      <c r="I45" s="3">
        <v>34300</v>
      </c>
      <c r="J45" t="str">
        <f t="shared" si="2"/>
        <v>Январь</v>
      </c>
    </row>
    <row r="46" spans="1:10" ht="14.4" hidden="1" x14ac:dyDescent="0.3">
      <c r="A46" t="s">
        <v>22</v>
      </c>
      <c r="B46" t="s">
        <v>38</v>
      </c>
      <c r="C46" t="s">
        <v>39</v>
      </c>
      <c r="D46" t="s">
        <v>51</v>
      </c>
      <c r="E46">
        <v>355</v>
      </c>
      <c r="F46" s="3">
        <v>120</v>
      </c>
      <c r="G46" s="3">
        <v>72</v>
      </c>
      <c r="H46" s="3">
        <v>42600</v>
      </c>
      <c r="I46" s="3">
        <v>17040</v>
      </c>
      <c r="J46" t="str">
        <f t="shared" si="2"/>
        <v>Январь</v>
      </c>
    </row>
    <row r="47" spans="1:10" ht="14.4" x14ac:dyDescent="0.3">
      <c r="A47" t="s">
        <v>53</v>
      </c>
      <c r="B47" t="s">
        <v>16</v>
      </c>
      <c r="C47" t="s">
        <v>17</v>
      </c>
      <c r="D47" t="s">
        <v>14</v>
      </c>
      <c r="E47">
        <v>254</v>
      </c>
      <c r="F47" s="3">
        <v>250</v>
      </c>
      <c r="G47" s="3">
        <v>150</v>
      </c>
      <c r="H47" s="3">
        <v>63500</v>
      </c>
      <c r="I47" s="3">
        <v>25400</v>
      </c>
      <c r="J47" t="str">
        <f t="shared" si="2"/>
        <v>Март</v>
      </c>
    </row>
    <row r="48" spans="1:10" ht="14.4" hidden="1" x14ac:dyDescent="0.3">
      <c r="A48" t="s">
        <v>59</v>
      </c>
      <c r="B48" t="s">
        <v>12</v>
      </c>
      <c r="C48" t="s">
        <v>13</v>
      </c>
      <c r="D48" t="s">
        <v>14</v>
      </c>
      <c r="E48">
        <v>387</v>
      </c>
      <c r="F48" s="3">
        <v>80</v>
      </c>
      <c r="G48" s="3">
        <v>48</v>
      </c>
      <c r="H48" s="3">
        <v>30960</v>
      </c>
      <c r="I48" s="3">
        <v>12384</v>
      </c>
      <c r="J48" t="str">
        <f t="shared" si="2"/>
        <v>Февраль</v>
      </c>
    </row>
    <row r="49" spans="1:10" ht="14.4" hidden="1" x14ac:dyDescent="0.3">
      <c r="A49" t="s">
        <v>60</v>
      </c>
      <c r="B49" t="s">
        <v>12</v>
      </c>
      <c r="C49" t="s">
        <v>13</v>
      </c>
      <c r="D49" t="s">
        <v>31</v>
      </c>
      <c r="E49">
        <v>335</v>
      </c>
      <c r="F49" s="3">
        <v>80</v>
      </c>
      <c r="G49" s="3">
        <v>48</v>
      </c>
      <c r="H49" s="3">
        <v>26800</v>
      </c>
      <c r="I49" s="3">
        <v>10720</v>
      </c>
      <c r="J49" t="str">
        <f t="shared" si="2"/>
        <v>Январь</v>
      </c>
    </row>
    <row r="50" spans="1:10" ht="14.4" hidden="1" x14ac:dyDescent="0.3">
      <c r="A50" t="s">
        <v>61</v>
      </c>
      <c r="B50" t="s">
        <v>16</v>
      </c>
      <c r="C50" t="s">
        <v>17</v>
      </c>
      <c r="D50" t="s">
        <v>51</v>
      </c>
      <c r="E50">
        <v>384</v>
      </c>
      <c r="F50" s="3">
        <v>250</v>
      </c>
      <c r="G50" s="3">
        <v>150</v>
      </c>
      <c r="H50" s="3">
        <v>96000</v>
      </c>
      <c r="I50" s="3">
        <v>38400</v>
      </c>
      <c r="J50" t="str">
        <f t="shared" si="2"/>
        <v>Январь</v>
      </c>
    </row>
    <row r="51" spans="1:10" ht="14.4" x14ac:dyDescent="0.3">
      <c r="A51" t="s">
        <v>18</v>
      </c>
      <c r="B51" t="s">
        <v>16</v>
      </c>
      <c r="C51" t="s">
        <v>17</v>
      </c>
      <c r="D51" t="s">
        <v>14</v>
      </c>
      <c r="E51">
        <v>244</v>
      </c>
      <c r="F51" s="3">
        <v>250</v>
      </c>
      <c r="G51" s="3">
        <v>150</v>
      </c>
      <c r="H51" s="3">
        <v>61000</v>
      </c>
      <c r="I51" s="3">
        <v>24400</v>
      </c>
      <c r="J51" t="str">
        <f t="shared" si="2"/>
        <v>Март</v>
      </c>
    </row>
    <row r="52" spans="1:10" ht="14.4" x14ac:dyDescent="0.3">
      <c r="A52" t="s">
        <v>62</v>
      </c>
      <c r="B52" t="s">
        <v>16</v>
      </c>
      <c r="C52" t="s">
        <v>17</v>
      </c>
      <c r="D52" t="s">
        <v>31</v>
      </c>
      <c r="E52">
        <v>241</v>
      </c>
      <c r="F52" s="3">
        <v>250</v>
      </c>
      <c r="G52" s="3">
        <v>150</v>
      </c>
      <c r="H52" s="3">
        <v>60250</v>
      </c>
      <c r="I52" s="3">
        <v>24100</v>
      </c>
      <c r="J52" t="str">
        <f t="shared" si="2"/>
        <v>Март</v>
      </c>
    </row>
    <row r="53" spans="1:10" ht="14.4" hidden="1" x14ac:dyDescent="0.3">
      <c r="A53" t="s">
        <v>63</v>
      </c>
      <c r="B53" t="s">
        <v>34</v>
      </c>
      <c r="C53" t="s">
        <v>35</v>
      </c>
      <c r="D53" t="s">
        <v>14</v>
      </c>
      <c r="E53">
        <v>496</v>
      </c>
      <c r="F53" s="3">
        <v>150</v>
      </c>
      <c r="G53" s="3">
        <v>90</v>
      </c>
      <c r="H53" s="3">
        <v>74400</v>
      </c>
      <c r="I53" s="3">
        <v>29760</v>
      </c>
      <c r="J53" t="str">
        <f t="shared" si="2"/>
        <v>Январь</v>
      </c>
    </row>
    <row r="54" spans="1:10" ht="14.4" hidden="1" x14ac:dyDescent="0.3">
      <c r="A54" t="s">
        <v>64</v>
      </c>
      <c r="B54" t="s">
        <v>12</v>
      </c>
      <c r="C54" t="s">
        <v>13</v>
      </c>
      <c r="D54" t="s">
        <v>31</v>
      </c>
      <c r="E54">
        <v>357</v>
      </c>
      <c r="F54" s="3">
        <v>80</v>
      </c>
      <c r="G54" s="3">
        <v>48</v>
      </c>
      <c r="H54" s="3">
        <v>28560</v>
      </c>
      <c r="I54" s="3">
        <v>11424</v>
      </c>
      <c r="J54" t="str">
        <f t="shared" si="2"/>
        <v>Январь</v>
      </c>
    </row>
    <row r="55" spans="1:10" ht="14.4" x14ac:dyDescent="0.3">
      <c r="A55" t="s">
        <v>21</v>
      </c>
      <c r="B55" t="s">
        <v>16</v>
      </c>
      <c r="C55" t="s">
        <v>17</v>
      </c>
      <c r="D55" t="s">
        <v>51</v>
      </c>
      <c r="E55">
        <v>241</v>
      </c>
      <c r="F55" s="3">
        <v>250</v>
      </c>
      <c r="G55" s="3">
        <v>150</v>
      </c>
      <c r="H55" s="3">
        <v>60250</v>
      </c>
      <c r="I55" s="3">
        <v>24100</v>
      </c>
      <c r="J55" t="str">
        <f t="shared" si="2"/>
        <v>Март</v>
      </c>
    </row>
    <row r="56" spans="1:10" ht="14.4" hidden="1" x14ac:dyDescent="0.3">
      <c r="A56" t="s">
        <v>36</v>
      </c>
      <c r="B56" t="s">
        <v>16</v>
      </c>
      <c r="C56" t="s">
        <v>17</v>
      </c>
      <c r="D56" t="s">
        <v>26</v>
      </c>
      <c r="E56">
        <v>215</v>
      </c>
      <c r="F56" s="3">
        <v>250</v>
      </c>
      <c r="G56" s="3">
        <v>150</v>
      </c>
      <c r="H56" s="3">
        <v>53750</v>
      </c>
      <c r="I56" s="3">
        <v>21500</v>
      </c>
      <c r="J56" t="str">
        <f t="shared" si="2"/>
        <v>Февраль</v>
      </c>
    </row>
    <row r="57" spans="1:10" ht="14.4" hidden="1" x14ac:dyDescent="0.3">
      <c r="A57" t="s">
        <v>37</v>
      </c>
      <c r="B57" t="s">
        <v>38</v>
      </c>
      <c r="C57" t="s">
        <v>39</v>
      </c>
      <c r="D57" t="s">
        <v>51</v>
      </c>
      <c r="E57">
        <v>384</v>
      </c>
      <c r="F57" s="3">
        <v>120</v>
      </c>
      <c r="G57" s="3">
        <v>72</v>
      </c>
      <c r="H57" s="3">
        <v>46080</v>
      </c>
      <c r="I57" s="3">
        <v>18432</v>
      </c>
      <c r="J57" t="str">
        <f t="shared" si="2"/>
        <v>Январь</v>
      </c>
    </row>
    <row r="58" spans="1:10" ht="14.4" x14ac:dyDescent="0.3">
      <c r="A58" t="s">
        <v>65</v>
      </c>
      <c r="B58" t="s">
        <v>16</v>
      </c>
      <c r="C58" t="s">
        <v>17</v>
      </c>
      <c r="D58" t="s">
        <v>23</v>
      </c>
      <c r="E58">
        <v>232</v>
      </c>
      <c r="F58" s="3">
        <v>250</v>
      </c>
      <c r="G58" s="3">
        <v>150</v>
      </c>
      <c r="H58" s="3">
        <v>58000</v>
      </c>
      <c r="I58" s="3">
        <v>23200</v>
      </c>
      <c r="J58" t="str">
        <f t="shared" si="2"/>
        <v>Март</v>
      </c>
    </row>
    <row r="59" spans="1:10" ht="14.4" x14ac:dyDescent="0.3">
      <c r="A59" t="s">
        <v>66</v>
      </c>
      <c r="B59" t="s">
        <v>34</v>
      </c>
      <c r="C59" t="s">
        <v>35</v>
      </c>
      <c r="D59" t="s">
        <v>14</v>
      </c>
      <c r="E59">
        <v>385</v>
      </c>
      <c r="F59" s="3">
        <v>150</v>
      </c>
      <c r="G59" s="3">
        <v>90</v>
      </c>
      <c r="H59" s="3">
        <v>57750</v>
      </c>
      <c r="I59" s="3">
        <v>23100</v>
      </c>
      <c r="J59" t="str">
        <f t="shared" si="2"/>
        <v>Март</v>
      </c>
    </row>
    <row r="60" spans="1:10" ht="14.4" x14ac:dyDescent="0.3">
      <c r="A60" t="s">
        <v>44</v>
      </c>
      <c r="B60" t="s">
        <v>38</v>
      </c>
      <c r="C60" t="s">
        <v>39</v>
      </c>
      <c r="D60" t="s">
        <v>23</v>
      </c>
      <c r="E60">
        <v>428</v>
      </c>
      <c r="F60" s="3">
        <v>120</v>
      </c>
      <c r="G60" s="3">
        <v>72</v>
      </c>
      <c r="H60" s="3">
        <v>51360</v>
      </c>
      <c r="I60" s="3">
        <v>20544</v>
      </c>
      <c r="J60" t="str">
        <f t="shared" si="2"/>
        <v>Март</v>
      </c>
    </row>
    <row r="61" spans="1:10" ht="14.4" hidden="1" x14ac:dyDescent="0.3">
      <c r="A61" t="s">
        <v>67</v>
      </c>
      <c r="B61" t="s">
        <v>12</v>
      </c>
      <c r="C61" t="s">
        <v>13</v>
      </c>
      <c r="D61" t="s">
        <v>14</v>
      </c>
      <c r="E61">
        <v>100</v>
      </c>
      <c r="F61" s="3">
        <v>80</v>
      </c>
      <c r="G61" s="3">
        <v>48</v>
      </c>
      <c r="H61" s="3">
        <v>8000</v>
      </c>
      <c r="I61" s="3">
        <v>3200</v>
      </c>
      <c r="J61" t="str">
        <f t="shared" si="2"/>
        <v>Февраль</v>
      </c>
    </row>
    <row r="62" spans="1:10" ht="14.4" hidden="1" x14ac:dyDescent="0.3">
      <c r="A62" t="s">
        <v>68</v>
      </c>
      <c r="B62" t="s">
        <v>16</v>
      </c>
      <c r="C62" t="s">
        <v>17</v>
      </c>
      <c r="D62" t="s">
        <v>26</v>
      </c>
      <c r="E62">
        <v>130</v>
      </c>
      <c r="F62" s="3">
        <v>250</v>
      </c>
      <c r="G62" s="3">
        <v>150</v>
      </c>
      <c r="H62" s="3">
        <v>32500</v>
      </c>
      <c r="I62" s="3">
        <v>13000</v>
      </c>
      <c r="J62" t="str">
        <f t="shared" si="2"/>
        <v>Январь</v>
      </c>
    </row>
    <row r="63" spans="1:10" ht="14.4" hidden="1" x14ac:dyDescent="0.3">
      <c r="A63" t="s">
        <v>54</v>
      </c>
      <c r="B63" t="s">
        <v>16</v>
      </c>
      <c r="C63" t="s">
        <v>17</v>
      </c>
      <c r="D63" t="s">
        <v>23</v>
      </c>
      <c r="E63">
        <v>182</v>
      </c>
      <c r="F63" s="3">
        <v>250</v>
      </c>
      <c r="G63" s="3">
        <v>150</v>
      </c>
      <c r="H63" s="3">
        <v>45500</v>
      </c>
      <c r="I63" s="3">
        <v>18200</v>
      </c>
      <c r="J63" t="str">
        <f t="shared" si="2"/>
        <v>Февраль</v>
      </c>
    </row>
    <row r="64" spans="1:10" ht="14.4" hidden="1" x14ac:dyDescent="0.3">
      <c r="A64" t="s">
        <v>69</v>
      </c>
      <c r="B64" t="s">
        <v>19</v>
      </c>
      <c r="C64" t="s">
        <v>20</v>
      </c>
      <c r="D64" t="s">
        <v>51</v>
      </c>
      <c r="E64">
        <v>334</v>
      </c>
      <c r="F64" s="3">
        <v>300</v>
      </c>
      <c r="G64" s="3">
        <v>180</v>
      </c>
      <c r="H64" s="3">
        <v>100200</v>
      </c>
      <c r="I64" s="3">
        <v>40080</v>
      </c>
      <c r="J64" t="str">
        <f t="shared" si="2"/>
        <v>Февраль</v>
      </c>
    </row>
    <row r="65" spans="1:10" ht="14.4" x14ac:dyDescent="0.3">
      <c r="A65" t="s">
        <v>70</v>
      </c>
      <c r="B65" t="s">
        <v>19</v>
      </c>
      <c r="C65" t="s">
        <v>20</v>
      </c>
      <c r="D65" t="s">
        <v>26</v>
      </c>
      <c r="E65">
        <v>170</v>
      </c>
      <c r="F65" s="3">
        <v>300</v>
      </c>
      <c r="G65" s="3">
        <v>180</v>
      </c>
      <c r="H65" s="3">
        <v>51000</v>
      </c>
      <c r="I65" s="3">
        <v>20400</v>
      </c>
      <c r="J65" t="str">
        <f t="shared" si="2"/>
        <v>Март</v>
      </c>
    </row>
    <row r="66" spans="1:10" ht="14.4" x14ac:dyDescent="0.3">
      <c r="A66" t="s">
        <v>44</v>
      </c>
      <c r="B66" t="s">
        <v>16</v>
      </c>
      <c r="C66" t="s">
        <v>17</v>
      </c>
      <c r="D66" t="s">
        <v>51</v>
      </c>
      <c r="E66">
        <v>203</v>
      </c>
      <c r="F66" s="3">
        <v>250</v>
      </c>
      <c r="G66" s="3">
        <v>150</v>
      </c>
      <c r="H66" s="3">
        <v>50750</v>
      </c>
      <c r="I66" s="3">
        <v>20300</v>
      </c>
      <c r="J66" t="str">
        <f t="shared" si="2"/>
        <v>Март</v>
      </c>
    </row>
    <row r="67" spans="1:10" ht="14.4" hidden="1" x14ac:dyDescent="0.3">
      <c r="A67" t="s">
        <v>71</v>
      </c>
      <c r="B67" t="s">
        <v>16</v>
      </c>
      <c r="C67" t="s">
        <v>17</v>
      </c>
      <c r="D67" t="s">
        <v>14</v>
      </c>
      <c r="E67">
        <v>233</v>
      </c>
      <c r="F67" s="3">
        <v>250</v>
      </c>
      <c r="G67" s="3">
        <v>150</v>
      </c>
      <c r="H67" s="3">
        <v>58250</v>
      </c>
      <c r="I67" s="3">
        <v>23300</v>
      </c>
      <c r="J67" t="str">
        <f t="shared" si="2"/>
        <v>Февраль</v>
      </c>
    </row>
    <row r="68" spans="1:10" ht="14.4" hidden="1" x14ac:dyDescent="0.3">
      <c r="A68" t="s">
        <v>72</v>
      </c>
      <c r="B68" t="s">
        <v>38</v>
      </c>
      <c r="C68" t="s">
        <v>39</v>
      </c>
      <c r="D68" t="s">
        <v>14</v>
      </c>
      <c r="E68">
        <v>450</v>
      </c>
      <c r="F68" s="3">
        <v>120</v>
      </c>
      <c r="G68" s="3">
        <v>72</v>
      </c>
      <c r="H68" s="3">
        <v>54000</v>
      </c>
      <c r="I68" s="3">
        <v>21600</v>
      </c>
      <c r="J68" t="str">
        <f t="shared" si="2"/>
        <v>Февраль</v>
      </c>
    </row>
    <row r="69" spans="1:10" ht="14.4" hidden="1" x14ac:dyDescent="0.3">
      <c r="A69" t="s">
        <v>61</v>
      </c>
      <c r="B69" t="s">
        <v>16</v>
      </c>
      <c r="C69" t="s">
        <v>17</v>
      </c>
      <c r="D69" t="s">
        <v>26</v>
      </c>
      <c r="E69">
        <v>379</v>
      </c>
      <c r="F69" s="3">
        <v>250</v>
      </c>
      <c r="G69" s="3">
        <v>150</v>
      </c>
      <c r="H69" s="3">
        <v>94750</v>
      </c>
      <c r="I69" s="3">
        <v>37900</v>
      </c>
      <c r="J69" t="str">
        <f t="shared" ref="J69:J100" si="3">TEXT(A69,"ММММ")</f>
        <v>Январь</v>
      </c>
    </row>
    <row r="70" spans="1:10" ht="14.4" hidden="1" x14ac:dyDescent="0.3">
      <c r="A70" t="s">
        <v>37</v>
      </c>
      <c r="B70" t="s">
        <v>16</v>
      </c>
      <c r="C70" t="s">
        <v>17</v>
      </c>
      <c r="D70" t="s">
        <v>14</v>
      </c>
      <c r="E70">
        <v>322</v>
      </c>
      <c r="F70" s="3">
        <v>250</v>
      </c>
      <c r="G70" s="3">
        <v>150</v>
      </c>
      <c r="H70" s="3">
        <v>80500</v>
      </c>
      <c r="I70" s="3">
        <v>32200</v>
      </c>
      <c r="J70" t="str">
        <f t="shared" si="3"/>
        <v>Январь</v>
      </c>
    </row>
    <row r="71" spans="1:10" ht="14.4" hidden="1" x14ac:dyDescent="0.3">
      <c r="A71" t="s">
        <v>73</v>
      </c>
      <c r="B71" t="s">
        <v>12</v>
      </c>
      <c r="C71" t="s">
        <v>13</v>
      </c>
      <c r="D71" t="s">
        <v>14</v>
      </c>
      <c r="E71">
        <v>389</v>
      </c>
      <c r="F71" s="3">
        <v>80</v>
      </c>
      <c r="G71" s="3">
        <v>48</v>
      </c>
      <c r="H71" s="3">
        <v>31120</v>
      </c>
      <c r="I71" s="3">
        <v>12448</v>
      </c>
      <c r="J71" t="str">
        <f t="shared" si="3"/>
        <v>Январь</v>
      </c>
    </row>
    <row r="72" spans="1:10" ht="14.4" hidden="1" x14ac:dyDescent="0.3">
      <c r="A72" t="s">
        <v>74</v>
      </c>
      <c r="B72" t="s">
        <v>38</v>
      </c>
      <c r="C72" t="s">
        <v>39</v>
      </c>
      <c r="D72" t="s">
        <v>26</v>
      </c>
      <c r="E72">
        <v>118</v>
      </c>
      <c r="F72" s="3">
        <v>120</v>
      </c>
      <c r="G72" s="3">
        <v>72</v>
      </c>
      <c r="H72" s="3">
        <v>14160</v>
      </c>
      <c r="I72" s="3">
        <v>5664</v>
      </c>
      <c r="J72" t="str">
        <f t="shared" si="3"/>
        <v>Февраль</v>
      </c>
    </row>
    <row r="73" spans="1:10" ht="14.4" hidden="1" x14ac:dyDescent="0.3">
      <c r="A73" t="s">
        <v>61</v>
      </c>
      <c r="B73" t="s">
        <v>38</v>
      </c>
      <c r="C73" t="s">
        <v>39</v>
      </c>
      <c r="D73" t="s">
        <v>26</v>
      </c>
      <c r="E73">
        <v>83</v>
      </c>
      <c r="F73" s="3">
        <v>120</v>
      </c>
      <c r="G73" s="3">
        <v>72</v>
      </c>
      <c r="H73" s="3">
        <v>9960</v>
      </c>
      <c r="I73" s="3">
        <v>3984</v>
      </c>
      <c r="J73" t="str">
        <f t="shared" si="3"/>
        <v>Январь</v>
      </c>
    </row>
    <row r="74" spans="1:10" ht="14.4" hidden="1" x14ac:dyDescent="0.3">
      <c r="A74" t="s">
        <v>74</v>
      </c>
      <c r="B74" t="s">
        <v>16</v>
      </c>
      <c r="C74" t="s">
        <v>17</v>
      </c>
      <c r="D74" t="s">
        <v>23</v>
      </c>
      <c r="E74">
        <v>311</v>
      </c>
      <c r="F74" s="3">
        <v>250</v>
      </c>
      <c r="G74" s="3">
        <v>150</v>
      </c>
      <c r="H74" s="3">
        <v>77750</v>
      </c>
      <c r="I74" s="3">
        <v>31100</v>
      </c>
      <c r="J74" t="str">
        <f t="shared" si="3"/>
        <v>Февраль</v>
      </c>
    </row>
    <row r="75" spans="1:10" ht="14.4" x14ac:dyDescent="0.3">
      <c r="A75" t="s">
        <v>75</v>
      </c>
      <c r="B75" t="s">
        <v>38</v>
      </c>
      <c r="C75" t="s">
        <v>39</v>
      </c>
      <c r="D75" t="s">
        <v>14</v>
      </c>
      <c r="E75">
        <v>420</v>
      </c>
      <c r="F75" s="3">
        <v>120</v>
      </c>
      <c r="G75" s="3">
        <v>72</v>
      </c>
      <c r="H75" s="3">
        <v>50400</v>
      </c>
      <c r="I75" s="3">
        <v>20160</v>
      </c>
      <c r="J75" t="str">
        <f t="shared" si="3"/>
        <v>Март</v>
      </c>
    </row>
    <row r="76" spans="1:10" ht="14.4" hidden="1" x14ac:dyDescent="0.3">
      <c r="A76" t="s">
        <v>60</v>
      </c>
      <c r="B76" t="s">
        <v>16</v>
      </c>
      <c r="C76" t="s">
        <v>17</v>
      </c>
      <c r="D76" t="s">
        <v>14</v>
      </c>
      <c r="E76">
        <v>499</v>
      </c>
      <c r="F76" s="3">
        <v>250</v>
      </c>
      <c r="G76" s="3">
        <v>150</v>
      </c>
      <c r="H76" s="3">
        <v>124750</v>
      </c>
      <c r="I76" s="3">
        <v>49900</v>
      </c>
      <c r="J76" t="str">
        <f t="shared" si="3"/>
        <v>Январь</v>
      </c>
    </row>
    <row r="77" spans="1:10" ht="14.4" x14ac:dyDescent="0.3">
      <c r="A77" t="s">
        <v>24</v>
      </c>
      <c r="B77" t="s">
        <v>16</v>
      </c>
      <c r="C77" t="s">
        <v>17</v>
      </c>
      <c r="D77" t="s">
        <v>14</v>
      </c>
      <c r="E77">
        <v>200</v>
      </c>
      <c r="F77" s="3">
        <v>250</v>
      </c>
      <c r="G77" s="3">
        <v>150</v>
      </c>
      <c r="H77" s="3">
        <v>50000</v>
      </c>
      <c r="I77" s="3">
        <v>20000</v>
      </c>
      <c r="J77" t="str">
        <f t="shared" si="3"/>
        <v>Март</v>
      </c>
    </row>
    <row r="78" spans="1:10" ht="14.4" hidden="1" x14ac:dyDescent="0.3">
      <c r="A78" t="s">
        <v>67</v>
      </c>
      <c r="B78" t="s">
        <v>38</v>
      </c>
      <c r="C78" t="s">
        <v>39</v>
      </c>
      <c r="D78" t="s">
        <v>14</v>
      </c>
      <c r="E78">
        <v>175</v>
      </c>
      <c r="F78" s="3">
        <v>120</v>
      </c>
      <c r="G78" s="3">
        <v>72</v>
      </c>
      <c r="H78" s="3">
        <v>21000</v>
      </c>
      <c r="I78" s="3">
        <v>8400</v>
      </c>
      <c r="J78" t="str">
        <f t="shared" si="3"/>
        <v>Февраль</v>
      </c>
    </row>
    <row r="79" spans="1:10" ht="14.4" hidden="1" x14ac:dyDescent="0.3">
      <c r="A79" t="s">
        <v>76</v>
      </c>
      <c r="B79" t="s">
        <v>12</v>
      </c>
      <c r="C79" t="s">
        <v>13</v>
      </c>
      <c r="D79" t="s">
        <v>31</v>
      </c>
      <c r="E79">
        <v>284</v>
      </c>
      <c r="F79" s="3">
        <v>80</v>
      </c>
      <c r="G79" s="3">
        <v>48</v>
      </c>
      <c r="H79" s="3">
        <v>22720</v>
      </c>
      <c r="I79" s="3">
        <v>9088</v>
      </c>
      <c r="J79" t="str">
        <f t="shared" si="3"/>
        <v>Февраль</v>
      </c>
    </row>
    <row r="80" spans="1:10" ht="14.4" x14ac:dyDescent="0.3">
      <c r="A80" t="s">
        <v>28</v>
      </c>
      <c r="B80" t="s">
        <v>16</v>
      </c>
      <c r="C80" t="s">
        <v>17</v>
      </c>
      <c r="D80" t="s">
        <v>51</v>
      </c>
      <c r="E80">
        <v>187</v>
      </c>
      <c r="F80" s="3">
        <v>250</v>
      </c>
      <c r="G80" s="3">
        <v>150</v>
      </c>
      <c r="H80" s="3">
        <v>46750</v>
      </c>
      <c r="I80" s="3">
        <v>18700</v>
      </c>
      <c r="J80" t="str">
        <f t="shared" si="3"/>
        <v>Март</v>
      </c>
    </row>
    <row r="81" spans="1:10" ht="14.4" x14ac:dyDescent="0.3">
      <c r="A81" t="s">
        <v>77</v>
      </c>
      <c r="B81" t="s">
        <v>19</v>
      </c>
      <c r="C81" t="s">
        <v>20</v>
      </c>
      <c r="D81" t="s">
        <v>14</v>
      </c>
      <c r="E81">
        <v>147</v>
      </c>
      <c r="F81" s="3">
        <v>300</v>
      </c>
      <c r="G81" s="3">
        <v>180</v>
      </c>
      <c r="H81" s="3">
        <v>44100</v>
      </c>
      <c r="I81" s="3">
        <v>17640</v>
      </c>
      <c r="J81" t="str">
        <f t="shared" si="3"/>
        <v>Март</v>
      </c>
    </row>
    <row r="82" spans="1:10" ht="14.4" hidden="1" x14ac:dyDescent="0.3">
      <c r="A82" t="s">
        <v>63</v>
      </c>
      <c r="B82" t="s">
        <v>12</v>
      </c>
      <c r="C82" t="s">
        <v>13</v>
      </c>
      <c r="D82" t="s">
        <v>31</v>
      </c>
      <c r="E82">
        <v>420</v>
      </c>
      <c r="F82" s="3">
        <v>80</v>
      </c>
      <c r="G82" s="3">
        <v>48</v>
      </c>
      <c r="H82" s="3">
        <v>33600</v>
      </c>
      <c r="I82" s="3">
        <v>13440</v>
      </c>
      <c r="J82" t="str">
        <f t="shared" si="3"/>
        <v>Январь</v>
      </c>
    </row>
    <row r="83" spans="1:10" ht="14.4" hidden="1" x14ac:dyDescent="0.3">
      <c r="A83" t="s">
        <v>78</v>
      </c>
      <c r="B83" t="s">
        <v>16</v>
      </c>
      <c r="C83" t="s">
        <v>17</v>
      </c>
      <c r="D83" t="s">
        <v>14</v>
      </c>
      <c r="E83">
        <v>160</v>
      </c>
      <c r="F83" s="3">
        <v>250</v>
      </c>
      <c r="G83" s="3">
        <v>150</v>
      </c>
      <c r="H83" s="3">
        <v>40000</v>
      </c>
      <c r="I83" s="3">
        <v>16000</v>
      </c>
      <c r="J83" t="str">
        <f t="shared" si="3"/>
        <v>Февраль</v>
      </c>
    </row>
    <row r="84" spans="1:10" ht="14.4" hidden="1" x14ac:dyDescent="0.3">
      <c r="A84" t="s">
        <v>15</v>
      </c>
      <c r="B84" t="s">
        <v>16</v>
      </c>
      <c r="C84" t="s">
        <v>17</v>
      </c>
      <c r="D84" t="s">
        <v>14</v>
      </c>
      <c r="E84">
        <v>298</v>
      </c>
      <c r="F84" s="3">
        <v>250</v>
      </c>
      <c r="G84" s="3">
        <v>150</v>
      </c>
      <c r="H84" s="3">
        <v>74500</v>
      </c>
      <c r="I84" s="3">
        <v>29800</v>
      </c>
      <c r="J84" t="str">
        <f t="shared" si="3"/>
        <v>Январь</v>
      </c>
    </row>
    <row r="85" spans="1:10" ht="14.4" x14ac:dyDescent="0.3">
      <c r="A85" t="s">
        <v>79</v>
      </c>
      <c r="B85" t="s">
        <v>34</v>
      </c>
      <c r="C85" t="s">
        <v>35</v>
      </c>
      <c r="D85" t="s">
        <v>51</v>
      </c>
      <c r="E85">
        <v>288</v>
      </c>
      <c r="F85" s="3">
        <v>150</v>
      </c>
      <c r="G85" s="3">
        <v>90</v>
      </c>
      <c r="H85" s="3">
        <v>43200</v>
      </c>
      <c r="I85" s="3">
        <v>17280</v>
      </c>
      <c r="J85" t="str">
        <f t="shared" si="3"/>
        <v>Март</v>
      </c>
    </row>
    <row r="86" spans="1:10" ht="14.4" x14ac:dyDescent="0.3">
      <c r="A86" t="s">
        <v>80</v>
      </c>
      <c r="B86" t="s">
        <v>19</v>
      </c>
      <c r="C86" t="s">
        <v>20</v>
      </c>
      <c r="D86" t="s">
        <v>14</v>
      </c>
      <c r="E86">
        <v>141</v>
      </c>
      <c r="F86" s="3">
        <v>300</v>
      </c>
      <c r="G86" s="3">
        <v>180</v>
      </c>
      <c r="H86" s="3">
        <v>42300</v>
      </c>
      <c r="I86" s="3">
        <v>16920</v>
      </c>
      <c r="J86" t="str">
        <f t="shared" si="3"/>
        <v>Март</v>
      </c>
    </row>
    <row r="87" spans="1:10" ht="14.4" x14ac:dyDescent="0.3">
      <c r="A87" t="s">
        <v>24</v>
      </c>
      <c r="B87" t="s">
        <v>34</v>
      </c>
      <c r="C87" t="s">
        <v>35</v>
      </c>
      <c r="D87" t="s">
        <v>51</v>
      </c>
      <c r="E87">
        <v>280</v>
      </c>
      <c r="F87" s="3">
        <v>150</v>
      </c>
      <c r="G87" s="3">
        <v>90</v>
      </c>
      <c r="H87" s="3">
        <v>42000</v>
      </c>
      <c r="I87" s="3">
        <v>16800</v>
      </c>
      <c r="J87" t="str">
        <f t="shared" si="3"/>
        <v>Март</v>
      </c>
    </row>
    <row r="88" spans="1:10" ht="14.4" x14ac:dyDescent="0.3">
      <c r="A88" t="s">
        <v>53</v>
      </c>
      <c r="B88" t="s">
        <v>16</v>
      </c>
      <c r="C88" t="s">
        <v>17</v>
      </c>
      <c r="D88" t="s">
        <v>26</v>
      </c>
      <c r="E88">
        <v>162</v>
      </c>
      <c r="F88" s="3">
        <v>250</v>
      </c>
      <c r="G88" s="3">
        <v>150</v>
      </c>
      <c r="H88" s="3">
        <v>40500</v>
      </c>
      <c r="I88" s="3">
        <v>16200</v>
      </c>
      <c r="J88" t="str">
        <f t="shared" si="3"/>
        <v>Март</v>
      </c>
    </row>
    <row r="89" spans="1:10" ht="14.4" hidden="1" x14ac:dyDescent="0.3">
      <c r="A89" t="s">
        <v>81</v>
      </c>
      <c r="B89" t="s">
        <v>19</v>
      </c>
      <c r="C89" t="s">
        <v>20</v>
      </c>
      <c r="D89" t="s">
        <v>14</v>
      </c>
      <c r="E89">
        <v>423</v>
      </c>
      <c r="F89" s="3">
        <v>300</v>
      </c>
      <c r="G89" s="3">
        <v>180</v>
      </c>
      <c r="H89" s="3">
        <v>126900</v>
      </c>
      <c r="I89" s="3">
        <v>50760</v>
      </c>
      <c r="J89" t="str">
        <f t="shared" si="3"/>
        <v>Февраль</v>
      </c>
    </row>
    <row r="90" spans="1:10" ht="14.4" x14ac:dyDescent="0.3">
      <c r="A90" t="s">
        <v>27</v>
      </c>
      <c r="B90" t="s">
        <v>16</v>
      </c>
      <c r="C90" t="s">
        <v>17</v>
      </c>
      <c r="D90" t="s">
        <v>14</v>
      </c>
      <c r="E90">
        <v>161</v>
      </c>
      <c r="F90" s="3">
        <v>250</v>
      </c>
      <c r="G90" s="3">
        <v>150</v>
      </c>
      <c r="H90" s="3">
        <v>40250</v>
      </c>
      <c r="I90" s="3">
        <v>16100</v>
      </c>
      <c r="J90" t="str">
        <f t="shared" si="3"/>
        <v>Март</v>
      </c>
    </row>
    <row r="91" spans="1:10" ht="14.4" x14ac:dyDescent="0.3">
      <c r="A91" t="s">
        <v>27</v>
      </c>
      <c r="B91" t="s">
        <v>38</v>
      </c>
      <c r="C91" t="s">
        <v>39</v>
      </c>
      <c r="D91" t="s">
        <v>31</v>
      </c>
      <c r="E91">
        <v>330</v>
      </c>
      <c r="F91" s="3">
        <v>120</v>
      </c>
      <c r="G91" s="3">
        <v>72</v>
      </c>
      <c r="H91" s="3">
        <v>39600</v>
      </c>
      <c r="I91" s="3">
        <v>15840</v>
      </c>
      <c r="J91" t="str">
        <f t="shared" si="3"/>
        <v>Март</v>
      </c>
    </row>
    <row r="92" spans="1:10" ht="14.4" x14ac:dyDescent="0.3">
      <c r="A92" t="s">
        <v>66</v>
      </c>
      <c r="B92" t="s">
        <v>16</v>
      </c>
      <c r="C92" t="s">
        <v>17</v>
      </c>
      <c r="D92" t="s">
        <v>14</v>
      </c>
      <c r="E92">
        <v>144</v>
      </c>
      <c r="F92" s="3">
        <v>250</v>
      </c>
      <c r="G92" s="3">
        <v>150</v>
      </c>
      <c r="H92" s="3">
        <v>36000</v>
      </c>
      <c r="I92" s="3">
        <v>14400</v>
      </c>
      <c r="J92" t="str">
        <f t="shared" si="3"/>
        <v>Март</v>
      </c>
    </row>
    <row r="93" spans="1:10" ht="14.4" hidden="1" x14ac:dyDescent="0.3">
      <c r="A93" t="s">
        <v>36</v>
      </c>
      <c r="B93" t="s">
        <v>12</v>
      </c>
      <c r="C93" t="s">
        <v>13</v>
      </c>
      <c r="D93" t="s">
        <v>23</v>
      </c>
      <c r="E93">
        <v>409</v>
      </c>
      <c r="F93" s="3">
        <v>80</v>
      </c>
      <c r="G93" s="3">
        <v>48</v>
      </c>
      <c r="H93" s="3">
        <v>32720</v>
      </c>
      <c r="I93" s="3">
        <v>13088</v>
      </c>
      <c r="J93" t="str">
        <f t="shared" si="3"/>
        <v>Февраль</v>
      </c>
    </row>
    <row r="94" spans="1:10" ht="14.4" hidden="1" x14ac:dyDescent="0.3">
      <c r="A94" t="s">
        <v>30</v>
      </c>
      <c r="B94" t="s">
        <v>12</v>
      </c>
      <c r="C94" t="s">
        <v>13</v>
      </c>
      <c r="D94" t="s">
        <v>14</v>
      </c>
      <c r="E94">
        <v>437</v>
      </c>
      <c r="F94" s="3">
        <v>80</v>
      </c>
      <c r="G94" s="3">
        <v>48</v>
      </c>
      <c r="H94" s="3">
        <v>34960</v>
      </c>
      <c r="I94" s="3">
        <v>13984</v>
      </c>
      <c r="J94" t="str">
        <f t="shared" si="3"/>
        <v>Январь</v>
      </c>
    </row>
    <row r="95" spans="1:10" ht="14.4" hidden="1" x14ac:dyDescent="0.3">
      <c r="A95" t="s">
        <v>82</v>
      </c>
      <c r="B95" t="s">
        <v>16</v>
      </c>
      <c r="C95" t="s">
        <v>17</v>
      </c>
      <c r="D95" t="s">
        <v>14</v>
      </c>
      <c r="E95">
        <v>233</v>
      </c>
      <c r="F95" s="3">
        <v>250</v>
      </c>
      <c r="G95" s="3">
        <v>150</v>
      </c>
      <c r="H95" s="3">
        <v>58250</v>
      </c>
      <c r="I95" s="3">
        <v>23300</v>
      </c>
      <c r="J95" t="str">
        <f t="shared" si="3"/>
        <v>Январь</v>
      </c>
    </row>
    <row r="96" spans="1:10" ht="14.4" x14ac:dyDescent="0.3">
      <c r="A96" t="s">
        <v>21</v>
      </c>
      <c r="B96" t="s">
        <v>16</v>
      </c>
      <c r="C96" t="s">
        <v>17</v>
      </c>
      <c r="D96" t="s">
        <v>51</v>
      </c>
      <c r="E96">
        <v>144</v>
      </c>
      <c r="F96" s="3">
        <v>250</v>
      </c>
      <c r="G96" s="3">
        <v>150</v>
      </c>
      <c r="H96" s="3">
        <v>36000</v>
      </c>
      <c r="I96" s="3">
        <v>14400</v>
      </c>
      <c r="J96" t="str">
        <f t="shared" si="3"/>
        <v>Март</v>
      </c>
    </row>
    <row r="97" spans="1:10" ht="14.4" x14ac:dyDescent="0.3">
      <c r="A97" t="s">
        <v>83</v>
      </c>
      <c r="B97" t="s">
        <v>12</v>
      </c>
      <c r="C97" t="s">
        <v>13</v>
      </c>
      <c r="D97" t="s">
        <v>14</v>
      </c>
      <c r="E97">
        <v>449</v>
      </c>
      <c r="F97" s="3">
        <v>80</v>
      </c>
      <c r="G97" s="3">
        <v>48</v>
      </c>
      <c r="H97" s="3">
        <v>35920</v>
      </c>
      <c r="I97" s="3">
        <v>14368</v>
      </c>
      <c r="J97" t="str">
        <f t="shared" si="3"/>
        <v>Март</v>
      </c>
    </row>
    <row r="98" spans="1:10" ht="14.4" hidden="1" x14ac:dyDescent="0.3">
      <c r="A98" t="s">
        <v>84</v>
      </c>
      <c r="B98" t="s">
        <v>16</v>
      </c>
      <c r="C98" t="s">
        <v>17</v>
      </c>
      <c r="D98" t="s">
        <v>51</v>
      </c>
      <c r="E98">
        <v>401</v>
      </c>
      <c r="F98" s="3">
        <v>250</v>
      </c>
      <c r="G98" s="3">
        <v>150</v>
      </c>
      <c r="H98" s="3">
        <v>100250</v>
      </c>
      <c r="I98" s="3">
        <v>40100</v>
      </c>
      <c r="J98" t="str">
        <f t="shared" si="3"/>
        <v>Февраль</v>
      </c>
    </row>
    <row r="99" spans="1:10" ht="14.4" hidden="1" x14ac:dyDescent="0.3">
      <c r="A99" t="s">
        <v>85</v>
      </c>
      <c r="B99" t="s">
        <v>12</v>
      </c>
      <c r="C99" t="s">
        <v>13</v>
      </c>
      <c r="D99" t="s">
        <v>31</v>
      </c>
      <c r="E99">
        <v>244</v>
      </c>
      <c r="F99" s="3">
        <v>80</v>
      </c>
      <c r="G99" s="3">
        <v>48</v>
      </c>
      <c r="H99" s="3">
        <v>19520</v>
      </c>
      <c r="I99" s="3">
        <v>7808</v>
      </c>
      <c r="J99" t="str">
        <f t="shared" si="3"/>
        <v>Январь</v>
      </c>
    </row>
    <row r="100" spans="1:10" ht="14.4" hidden="1" x14ac:dyDescent="0.3">
      <c r="A100" t="s">
        <v>15</v>
      </c>
      <c r="B100" t="s">
        <v>16</v>
      </c>
      <c r="C100" t="s">
        <v>17</v>
      </c>
      <c r="D100" t="s">
        <v>14</v>
      </c>
      <c r="E100">
        <v>204</v>
      </c>
      <c r="F100" s="3">
        <v>250</v>
      </c>
      <c r="G100" s="3">
        <v>150</v>
      </c>
      <c r="H100" s="3">
        <v>51000</v>
      </c>
      <c r="I100" s="3">
        <v>20400</v>
      </c>
      <c r="J100" t="str">
        <f t="shared" si="3"/>
        <v>Январь</v>
      </c>
    </row>
    <row r="101" spans="1:10" ht="14.4" hidden="1" x14ac:dyDescent="0.3">
      <c r="A101" t="s">
        <v>86</v>
      </c>
      <c r="B101" t="s">
        <v>34</v>
      </c>
      <c r="C101" t="s">
        <v>35</v>
      </c>
      <c r="D101" t="s">
        <v>14</v>
      </c>
      <c r="E101">
        <v>142</v>
      </c>
      <c r="F101" s="3">
        <v>150</v>
      </c>
      <c r="G101" s="3">
        <v>90</v>
      </c>
      <c r="H101" s="3">
        <v>21300</v>
      </c>
      <c r="I101" s="3">
        <v>8520</v>
      </c>
      <c r="J101" t="str">
        <f t="shared" ref="J101:J132" si="4">TEXT(A101,"ММММ")</f>
        <v>Февраль</v>
      </c>
    </row>
    <row r="102" spans="1:10" ht="14.4" x14ac:dyDescent="0.3">
      <c r="A102" t="s">
        <v>65</v>
      </c>
      <c r="B102" t="s">
        <v>12</v>
      </c>
      <c r="C102" t="s">
        <v>13</v>
      </c>
      <c r="D102" t="s">
        <v>14</v>
      </c>
      <c r="E102">
        <v>437</v>
      </c>
      <c r="F102" s="3">
        <v>80</v>
      </c>
      <c r="G102" s="3">
        <v>48</v>
      </c>
      <c r="H102" s="3">
        <v>34960</v>
      </c>
      <c r="I102" s="3">
        <v>13984</v>
      </c>
      <c r="J102" t="str">
        <f t="shared" si="4"/>
        <v>Март</v>
      </c>
    </row>
    <row r="103" spans="1:10" ht="14.4" x14ac:dyDescent="0.3">
      <c r="A103" t="s">
        <v>87</v>
      </c>
      <c r="B103" t="s">
        <v>12</v>
      </c>
      <c r="C103" t="s">
        <v>13</v>
      </c>
      <c r="D103" t="s">
        <v>31</v>
      </c>
      <c r="E103">
        <v>437</v>
      </c>
      <c r="F103" s="3">
        <v>80</v>
      </c>
      <c r="G103" s="3">
        <v>48</v>
      </c>
      <c r="H103" s="3">
        <v>34960</v>
      </c>
      <c r="I103" s="3">
        <v>13984</v>
      </c>
      <c r="J103" t="str">
        <f t="shared" si="4"/>
        <v>Март</v>
      </c>
    </row>
    <row r="104" spans="1:10" ht="14.4" x14ac:dyDescent="0.3">
      <c r="A104" t="s">
        <v>21</v>
      </c>
      <c r="B104" t="s">
        <v>38</v>
      </c>
      <c r="C104" t="s">
        <v>39</v>
      </c>
      <c r="D104" t="s">
        <v>31</v>
      </c>
      <c r="E104">
        <v>289</v>
      </c>
      <c r="F104" s="3">
        <v>120</v>
      </c>
      <c r="G104" s="3">
        <v>72</v>
      </c>
      <c r="H104" s="3">
        <v>34680</v>
      </c>
      <c r="I104" s="3">
        <v>13872</v>
      </c>
      <c r="J104" t="str">
        <f t="shared" si="4"/>
        <v>Март</v>
      </c>
    </row>
    <row r="105" spans="1:10" ht="14.4" hidden="1" x14ac:dyDescent="0.3">
      <c r="A105" t="s">
        <v>64</v>
      </c>
      <c r="B105" t="s">
        <v>16</v>
      </c>
      <c r="C105" t="s">
        <v>17</v>
      </c>
      <c r="D105" t="s">
        <v>51</v>
      </c>
      <c r="E105">
        <v>171</v>
      </c>
      <c r="F105" s="3">
        <v>250</v>
      </c>
      <c r="G105" s="3">
        <v>150</v>
      </c>
      <c r="H105" s="3">
        <v>42750</v>
      </c>
      <c r="I105" s="3">
        <v>17100</v>
      </c>
      <c r="J105" t="str">
        <f t="shared" si="4"/>
        <v>Январь</v>
      </c>
    </row>
    <row r="106" spans="1:10" ht="14.4" x14ac:dyDescent="0.3">
      <c r="A106" t="s">
        <v>65</v>
      </c>
      <c r="B106" t="s">
        <v>12</v>
      </c>
      <c r="C106" t="s">
        <v>13</v>
      </c>
      <c r="D106" t="s">
        <v>26</v>
      </c>
      <c r="E106">
        <v>399</v>
      </c>
      <c r="F106" s="3">
        <v>80</v>
      </c>
      <c r="G106" s="3">
        <v>48</v>
      </c>
      <c r="H106" s="3">
        <v>31920</v>
      </c>
      <c r="I106" s="3">
        <v>12768</v>
      </c>
      <c r="J106" t="str">
        <f t="shared" si="4"/>
        <v>Март</v>
      </c>
    </row>
    <row r="107" spans="1:10" ht="14.4" hidden="1" x14ac:dyDescent="0.3">
      <c r="A107" t="s">
        <v>88</v>
      </c>
      <c r="B107" t="s">
        <v>12</v>
      </c>
      <c r="C107" t="s">
        <v>13</v>
      </c>
      <c r="D107" t="s">
        <v>26</v>
      </c>
      <c r="E107">
        <v>452</v>
      </c>
      <c r="F107" s="3">
        <v>80</v>
      </c>
      <c r="G107" s="3">
        <v>48</v>
      </c>
      <c r="H107" s="3">
        <v>36160</v>
      </c>
      <c r="I107" s="3">
        <v>14464</v>
      </c>
      <c r="J107" t="str">
        <f t="shared" si="4"/>
        <v>Январь</v>
      </c>
    </row>
    <row r="108" spans="1:10" ht="14.4" hidden="1" x14ac:dyDescent="0.3">
      <c r="A108" t="s">
        <v>68</v>
      </c>
      <c r="B108" t="s">
        <v>34</v>
      </c>
      <c r="C108" t="s">
        <v>35</v>
      </c>
      <c r="D108" t="s">
        <v>31</v>
      </c>
      <c r="E108">
        <v>326</v>
      </c>
      <c r="F108" s="3">
        <v>150</v>
      </c>
      <c r="G108" s="3">
        <v>90</v>
      </c>
      <c r="H108" s="3">
        <v>48900</v>
      </c>
      <c r="I108" s="3">
        <v>19560</v>
      </c>
      <c r="J108" t="str">
        <f t="shared" si="4"/>
        <v>Январь</v>
      </c>
    </row>
    <row r="109" spans="1:10" ht="14.4" x14ac:dyDescent="0.3">
      <c r="A109" t="s">
        <v>89</v>
      </c>
      <c r="B109" t="s">
        <v>12</v>
      </c>
      <c r="C109" t="s">
        <v>13</v>
      </c>
      <c r="D109" t="s">
        <v>14</v>
      </c>
      <c r="E109">
        <v>397</v>
      </c>
      <c r="F109" s="3">
        <v>80</v>
      </c>
      <c r="G109" s="3">
        <v>48</v>
      </c>
      <c r="H109" s="3">
        <v>31760</v>
      </c>
      <c r="I109" s="3">
        <v>12704</v>
      </c>
      <c r="J109" t="str">
        <f t="shared" si="4"/>
        <v>Март</v>
      </c>
    </row>
    <row r="110" spans="1:10" ht="14.4" x14ac:dyDescent="0.3">
      <c r="A110" t="s">
        <v>79</v>
      </c>
      <c r="B110" t="s">
        <v>34</v>
      </c>
      <c r="C110" t="s">
        <v>35</v>
      </c>
      <c r="D110" t="s">
        <v>26</v>
      </c>
      <c r="E110">
        <v>209</v>
      </c>
      <c r="F110" s="3">
        <v>150</v>
      </c>
      <c r="G110" s="3">
        <v>90</v>
      </c>
      <c r="H110" s="3">
        <v>31350</v>
      </c>
      <c r="I110" s="3">
        <v>12540</v>
      </c>
      <c r="J110" t="str">
        <f t="shared" si="4"/>
        <v>Март</v>
      </c>
    </row>
    <row r="111" spans="1:10" ht="14.4" hidden="1" x14ac:dyDescent="0.3">
      <c r="A111" t="s">
        <v>90</v>
      </c>
      <c r="B111" t="s">
        <v>16</v>
      </c>
      <c r="C111" t="s">
        <v>17</v>
      </c>
      <c r="D111" t="s">
        <v>31</v>
      </c>
      <c r="E111">
        <v>219</v>
      </c>
      <c r="F111" s="3">
        <v>250</v>
      </c>
      <c r="G111" s="3">
        <v>150</v>
      </c>
      <c r="H111" s="3">
        <v>54750</v>
      </c>
      <c r="I111" s="3">
        <v>21900</v>
      </c>
      <c r="J111" t="str">
        <f t="shared" si="4"/>
        <v>Январь</v>
      </c>
    </row>
    <row r="112" spans="1:10" ht="14.4" x14ac:dyDescent="0.3">
      <c r="A112" t="s">
        <v>75</v>
      </c>
      <c r="B112" t="s">
        <v>16</v>
      </c>
      <c r="C112" t="s">
        <v>17</v>
      </c>
      <c r="D112" t="s">
        <v>23</v>
      </c>
      <c r="E112">
        <v>121</v>
      </c>
      <c r="F112" s="3">
        <v>250</v>
      </c>
      <c r="G112" s="3">
        <v>150</v>
      </c>
      <c r="H112" s="3">
        <v>30250</v>
      </c>
      <c r="I112" s="3">
        <v>12100</v>
      </c>
      <c r="J112" t="str">
        <f t="shared" si="4"/>
        <v>Март</v>
      </c>
    </row>
    <row r="113" spans="1:10" ht="14.4" hidden="1" x14ac:dyDescent="0.3">
      <c r="A113" t="s">
        <v>68</v>
      </c>
      <c r="B113" t="s">
        <v>19</v>
      </c>
      <c r="C113" t="s">
        <v>20</v>
      </c>
      <c r="D113" t="s">
        <v>14</v>
      </c>
      <c r="E113">
        <v>71</v>
      </c>
      <c r="F113" s="3">
        <v>300</v>
      </c>
      <c r="G113" s="3">
        <v>180</v>
      </c>
      <c r="H113" s="3">
        <v>21300</v>
      </c>
      <c r="I113" s="3">
        <v>8520</v>
      </c>
      <c r="J113" t="str">
        <f t="shared" si="4"/>
        <v>Январь</v>
      </c>
    </row>
    <row r="114" spans="1:10" ht="14.4" hidden="1" x14ac:dyDescent="0.3">
      <c r="A114" t="s">
        <v>69</v>
      </c>
      <c r="B114" t="s">
        <v>16</v>
      </c>
      <c r="C114" t="s">
        <v>17</v>
      </c>
      <c r="D114" t="s">
        <v>26</v>
      </c>
      <c r="E114">
        <v>454</v>
      </c>
      <c r="F114" s="3">
        <v>250</v>
      </c>
      <c r="G114" s="3">
        <v>150</v>
      </c>
      <c r="H114" s="3">
        <v>113500</v>
      </c>
      <c r="I114" s="3">
        <v>45400</v>
      </c>
      <c r="J114" t="str">
        <f t="shared" si="4"/>
        <v>Февраль</v>
      </c>
    </row>
    <row r="115" spans="1:10" ht="14.4" hidden="1" x14ac:dyDescent="0.3">
      <c r="A115" t="s">
        <v>69</v>
      </c>
      <c r="B115" t="s">
        <v>16</v>
      </c>
      <c r="C115" t="s">
        <v>17</v>
      </c>
      <c r="D115" t="s">
        <v>14</v>
      </c>
      <c r="E115">
        <v>375</v>
      </c>
      <c r="F115" s="3">
        <v>250</v>
      </c>
      <c r="G115" s="3">
        <v>150</v>
      </c>
      <c r="H115" s="3">
        <v>93750</v>
      </c>
      <c r="I115" s="3">
        <v>37500</v>
      </c>
      <c r="J115" t="str">
        <f t="shared" si="4"/>
        <v>Февраль</v>
      </c>
    </row>
    <row r="116" spans="1:10" ht="14.4" hidden="1" x14ac:dyDescent="0.3">
      <c r="A116" t="s">
        <v>43</v>
      </c>
      <c r="B116" t="s">
        <v>12</v>
      </c>
      <c r="C116" t="s">
        <v>13</v>
      </c>
      <c r="D116" t="s">
        <v>14</v>
      </c>
      <c r="E116">
        <v>50</v>
      </c>
      <c r="F116" s="3">
        <v>80</v>
      </c>
      <c r="G116" s="3">
        <v>48</v>
      </c>
      <c r="H116" s="3">
        <v>4000</v>
      </c>
      <c r="I116" s="3">
        <v>1600</v>
      </c>
      <c r="J116" t="str">
        <f t="shared" si="4"/>
        <v>Февраль</v>
      </c>
    </row>
    <row r="117" spans="1:10" ht="14.4" hidden="1" x14ac:dyDescent="0.3">
      <c r="A117" t="s">
        <v>91</v>
      </c>
      <c r="B117" t="s">
        <v>34</v>
      </c>
      <c r="C117" t="s">
        <v>35</v>
      </c>
      <c r="D117" t="s">
        <v>14</v>
      </c>
      <c r="E117">
        <v>182</v>
      </c>
      <c r="F117" s="3">
        <v>150</v>
      </c>
      <c r="G117" s="3">
        <v>90</v>
      </c>
      <c r="H117" s="3">
        <v>27300</v>
      </c>
      <c r="I117" s="3">
        <v>10920</v>
      </c>
      <c r="J117" t="str">
        <f t="shared" si="4"/>
        <v>Январь</v>
      </c>
    </row>
    <row r="118" spans="1:10" ht="14.4" hidden="1" x14ac:dyDescent="0.3">
      <c r="A118" t="s">
        <v>84</v>
      </c>
      <c r="B118" t="s">
        <v>38</v>
      </c>
      <c r="C118" t="s">
        <v>39</v>
      </c>
      <c r="D118" t="s">
        <v>14</v>
      </c>
      <c r="E118">
        <v>282</v>
      </c>
      <c r="F118" s="3">
        <v>120</v>
      </c>
      <c r="G118" s="3">
        <v>72</v>
      </c>
      <c r="H118" s="3">
        <v>33840</v>
      </c>
      <c r="I118" s="3">
        <v>13536</v>
      </c>
      <c r="J118" t="str">
        <f t="shared" si="4"/>
        <v>Февраль</v>
      </c>
    </row>
    <row r="119" spans="1:10" ht="14.4" hidden="1" x14ac:dyDescent="0.3">
      <c r="A119" t="s">
        <v>92</v>
      </c>
      <c r="B119" t="s">
        <v>12</v>
      </c>
      <c r="C119" t="s">
        <v>13</v>
      </c>
      <c r="D119" t="s">
        <v>14</v>
      </c>
      <c r="E119">
        <v>61</v>
      </c>
      <c r="F119" s="3">
        <v>80</v>
      </c>
      <c r="G119" s="3">
        <v>48</v>
      </c>
      <c r="H119" s="3">
        <v>4880</v>
      </c>
      <c r="I119" s="3">
        <v>1952</v>
      </c>
      <c r="J119" t="str">
        <f t="shared" si="4"/>
        <v>Январь</v>
      </c>
    </row>
    <row r="120" spans="1:10" ht="14.4" hidden="1" x14ac:dyDescent="0.3">
      <c r="A120" t="s">
        <v>58</v>
      </c>
      <c r="B120" t="s">
        <v>16</v>
      </c>
      <c r="C120" t="s">
        <v>17</v>
      </c>
      <c r="D120" t="s">
        <v>14</v>
      </c>
      <c r="E120">
        <v>395</v>
      </c>
      <c r="F120" s="3">
        <v>250</v>
      </c>
      <c r="G120" s="3">
        <v>150</v>
      </c>
      <c r="H120" s="3">
        <v>98750</v>
      </c>
      <c r="I120" s="3">
        <v>39500</v>
      </c>
      <c r="J120" t="str">
        <f t="shared" si="4"/>
        <v>Январь</v>
      </c>
    </row>
    <row r="121" spans="1:10" ht="14.4" x14ac:dyDescent="0.3">
      <c r="A121" t="s">
        <v>44</v>
      </c>
      <c r="B121" t="s">
        <v>16</v>
      </c>
      <c r="C121" t="s">
        <v>17</v>
      </c>
      <c r="D121" t="s">
        <v>26</v>
      </c>
      <c r="E121">
        <v>116</v>
      </c>
      <c r="F121" s="3">
        <v>250</v>
      </c>
      <c r="G121" s="3">
        <v>150</v>
      </c>
      <c r="H121" s="3">
        <v>29000</v>
      </c>
      <c r="I121" s="3">
        <v>11600</v>
      </c>
      <c r="J121" t="str">
        <f t="shared" si="4"/>
        <v>Март</v>
      </c>
    </row>
    <row r="122" spans="1:10" ht="14.4" x14ac:dyDescent="0.3">
      <c r="A122" t="s">
        <v>93</v>
      </c>
      <c r="B122" t="s">
        <v>12</v>
      </c>
      <c r="C122" t="s">
        <v>13</v>
      </c>
      <c r="D122" t="s">
        <v>51</v>
      </c>
      <c r="E122">
        <v>361</v>
      </c>
      <c r="F122" s="3">
        <v>80</v>
      </c>
      <c r="G122" s="3">
        <v>48</v>
      </c>
      <c r="H122" s="3">
        <v>28880</v>
      </c>
      <c r="I122" s="3">
        <v>11552</v>
      </c>
      <c r="J122" t="str">
        <f t="shared" si="4"/>
        <v>Март</v>
      </c>
    </row>
    <row r="123" spans="1:10" ht="14.4" hidden="1" x14ac:dyDescent="0.3">
      <c r="A123" t="s">
        <v>94</v>
      </c>
      <c r="B123" t="s">
        <v>16</v>
      </c>
      <c r="C123" t="s">
        <v>17</v>
      </c>
      <c r="D123" t="s">
        <v>31</v>
      </c>
      <c r="E123">
        <v>482</v>
      </c>
      <c r="F123" s="3">
        <v>250</v>
      </c>
      <c r="G123" s="3">
        <v>150</v>
      </c>
      <c r="H123" s="3">
        <v>120500</v>
      </c>
      <c r="I123" s="3">
        <v>48200</v>
      </c>
      <c r="J123" t="str">
        <f t="shared" si="4"/>
        <v>Январь</v>
      </c>
    </row>
    <row r="124" spans="1:10" ht="14.4" hidden="1" x14ac:dyDescent="0.3">
      <c r="A124" t="s">
        <v>76</v>
      </c>
      <c r="B124" t="s">
        <v>12</v>
      </c>
      <c r="C124" t="s">
        <v>13</v>
      </c>
      <c r="D124" t="s">
        <v>23</v>
      </c>
      <c r="E124">
        <v>127</v>
      </c>
      <c r="F124" s="3">
        <v>80</v>
      </c>
      <c r="G124" s="3">
        <v>48</v>
      </c>
      <c r="H124" s="3">
        <v>10160</v>
      </c>
      <c r="I124" s="3">
        <v>4064</v>
      </c>
      <c r="J124" t="str">
        <f t="shared" si="4"/>
        <v>Февраль</v>
      </c>
    </row>
    <row r="125" spans="1:10" ht="14.4" hidden="1" x14ac:dyDescent="0.3">
      <c r="A125" t="s">
        <v>43</v>
      </c>
      <c r="B125" t="s">
        <v>19</v>
      </c>
      <c r="C125" t="s">
        <v>20</v>
      </c>
      <c r="D125" t="s">
        <v>26</v>
      </c>
      <c r="E125">
        <v>267</v>
      </c>
      <c r="F125" s="3">
        <v>300</v>
      </c>
      <c r="G125" s="3">
        <v>180</v>
      </c>
      <c r="H125" s="3">
        <v>80100</v>
      </c>
      <c r="I125" s="3">
        <v>32040</v>
      </c>
      <c r="J125" t="str">
        <f t="shared" si="4"/>
        <v>Февраль</v>
      </c>
    </row>
    <row r="126" spans="1:10" ht="14.4" hidden="1" x14ac:dyDescent="0.3">
      <c r="A126" t="s">
        <v>78</v>
      </c>
      <c r="B126" t="s">
        <v>38</v>
      </c>
      <c r="C126" t="s">
        <v>39</v>
      </c>
      <c r="D126" t="s">
        <v>14</v>
      </c>
      <c r="E126">
        <v>350</v>
      </c>
      <c r="F126" s="3">
        <v>120</v>
      </c>
      <c r="G126" s="3">
        <v>72</v>
      </c>
      <c r="H126" s="3">
        <v>42000</v>
      </c>
      <c r="I126" s="3">
        <v>16800</v>
      </c>
      <c r="J126" t="str">
        <f t="shared" si="4"/>
        <v>Февраль</v>
      </c>
    </row>
    <row r="127" spans="1:10" ht="14.4" hidden="1" x14ac:dyDescent="0.3">
      <c r="A127" t="s">
        <v>95</v>
      </c>
      <c r="B127" t="s">
        <v>38</v>
      </c>
      <c r="C127" t="s">
        <v>39</v>
      </c>
      <c r="D127" t="s">
        <v>14</v>
      </c>
      <c r="E127">
        <v>460</v>
      </c>
      <c r="F127" s="3">
        <v>120</v>
      </c>
      <c r="G127" s="3">
        <v>72</v>
      </c>
      <c r="H127" s="3">
        <v>55200</v>
      </c>
      <c r="I127" s="3">
        <v>22080</v>
      </c>
      <c r="J127" t="str">
        <f t="shared" si="4"/>
        <v>Январь</v>
      </c>
    </row>
    <row r="128" spans="1:10" ht="14.4" x14ac:dyDescent="0.3">
      <c r="A128" t="s">
        <v>21</v>
      </c>
      <c r="B128" t="s">
        <v>12</v>
      </c>
      <c r="C128" t="s">
        <v>13</v>
      </c>
      <c r="D128" t="s">
        <v>14</v>
      </c>
      <c r="E128">
        <v>349</v>
      </c>
      <c r="F128" s="3">
        <v>80</v>
      </c>
      <c r="G128" s="3">
        <v>48</v>
      </c>
      <c r="H128" s="3">
        <v>27920</v>
      </c>
      <c r="I128" s="3">
        <v>11168</v>
      </c>
      <c r="J128" t="str">
        <f t="shared" si="4"/>
        <v>Март</v>
      </c>
    </row>
    <row r="129" spans="1:10" ht="14.4" x14ac:dyDescent="0.3">
      <c r="A129" t="s">
        <v>96</v>
      </c>
      <c r="B129" t="s">
        <v>19</v>
      </c>
      <c r="C129" t="s">
        <v>20</v>
      </c>
      <c r="D129" t="s">
        <v>31</v>
      </c>
      <c r="E129">
        <v>92</v>
      </c>
      <c r="F129" s="3">
        <v>300</v>
      </c>
      <c r="G129" s="3">
        <v>180</v>
      </c>
      <c r="H129" s="3">
        <v>27600</v>
      </c>
      <c r="I129" s="3">
        <v>11040</v>
      </c>
      <c r="J129" t="str">
        <f t="shared" si="4"/>
        <v>Март</v>
      </c>
    </row>
    <row r="130" spans="1:10" ht="14.4" hidden="1" x14ac:dyDescent="0.3">
      <c r="A130" t="s">
        <v>97</v>
      </c>
      <c r="B130" t="s">
        <v>16</v>
      </c>
      <c r="C130" t="s">
        <v>17</v>
      </c>
      <c r="D130" t="s">
        <v>26</v>
      </c>
      <c r="E130">
        <v>298</v>
      </c>
      <c r="F130" s="3">
        <v>250</v>
      </c>
      <c r="G130" s="3">
        <v>150</v>
      </c>
      <c r="H130" s="3">
        <v>74500</v>
      </c>
      <c r="I130" s="3">
        <v>29800</v>
      </c>
      <c r="J130" t="str">
        <f t="shared" si="4"/>
        <v>Февраль</v>
      </c>
    </row>
    <row r="131" spans="1:10" ht="14.4" hidden="1" x14ac:dyDescent="0.3">
      <c r="A131" t="s">
        <v>67</v>
      </c>
      <c r="B131" t="s">
        <v>19</v>
      </c>
      <c r="C131" t="s">
        <v>20</v>
      </c>
      <c r="D131" t="s">
        <v>14</v>
      </c>
      <c r="E131">
        <v>96</v>
      </c>
      <c r="F131" s="3">
        <v>300</v>
      </c>
      <c r="G131" s="3">
        <v>180</v>
      </c>
      <c r="H131" s="3">
        <v>28800</v>
      </c>
      <c r="I131" s="3">
        <v>11520</v>
      </c>
      <c r="J131" t="str">
        <f t="shared" si="4"/>
        <v>Февраль</v>
      </c>
    </row>
    <row r="132" spans="1:10" ht="14.4" x14ac:dyDescent="0.3">
      <c r="A132" t="s">
        <v>25</v>
      </c>
      <c r="B132" t="s">
        <v>16</v>
      </c>
      <c r="C132" t="s">
        <v>17</v>
      </c>
      <c r="D132" t="s">
        <v>14</v>
      </c>
      <c r="E132">
        <v>110</v>
      </c>
      <c r="F132" s="3">
        <v>250</v>
      </c>
      <c r="G132" s="3">
        <v>150</v>
      </c>
      <c r="H132" s="3">
        <v>27500</v>
      </c>
      <c r="I132" s="3">
        <v>11000</v>
      </c>
      <c r="J132" t="str">
        <f t="shared" si="4"/>
        <v>Март</v>
      </c>
    </row>
    <row r="133" spans="1:10" ht="14.4" hidden="1" x14ac:dyDescent="0.3">
      <c r="A133" t="s">
        <v>69</v>
      </c>
      <c r="B133" t="s">
        <v>19</v>
      </c>
      <c r="C133" t="s">
        <v>20</v>
      </c>
      <c r="D133" t="s">
        <v>14</v>
      </c>
      <c r="E133">
        <v>263</v>
      </c>
      <c r="F133" s="3">
        <v>300</v>
      </c>
      <c r="G133" s="3">
        <v>180</v>
      </c>
      <c r="H133" s="3">
        <v>78900</v>
      </c>
      <c r="I133" s="3">
        <v>31560</v>
      </c>
      <c r="J133" t="str">
        <f t="shared" ref="J133:J164" si="5">TEXT(A133,"ММММ")</f>
        <v>Февраль</v>
      </c>
    </row>
    <row r="134" spans="1:10" ht="14.4" x14ac:dyDescent="0.3">
      <c r="A134" t="s">
        <v>98</v>
      </c>
      <c r="B134" t="s">
        <v>12</v>
      </c>
      <c r="C134" t="s">
        <v>13</v>
      </c>
      <c r="D134" t="s">
        <v>14</v>
      </c>
      <c r="E134">
        <v>302</v>
      </c>
      <c r="F134" s="3">
        <v>80</v>
      </c>
      <c r="G134" s="3">
        <v>48</v>
      </c>
      <c r="H134" s="3">
        <v>24160</v>
      </c>
      <c r="I134" s="3">
        <v>9664</v>
      </c>
      <c r="J134" t="str">
        <f t="shared" si="5"/>
        <v>Март</v>
      </c>
    </row>
    <row r="135" spans="1:10" ht="14.4" hidden="1" x14ac:dyDescent="0.3">
      <c r="A135" t="s">
        <v>54</v>
      </c>
      <c r="B135" t="s">
        <v>12</v>
      </c>
      <c r="C135" t="s">
        <v>13</v>
      </c>
      <c r="D135" t="s">
        <v>23</v>
      </c>
      <c r="E135">
        <v>105</v>
      </c>
      <c r="F135" s="3">
        <v>80</v>
      </c>
      <c r="G135" s="3">
        <v>48</v>
      </c>
      <c r="H135" s="3">
        <v>8400</v>
      </c>
      <c r="I135" s="3">
        <v>3360</v>
      </c>
      <c r="J135" t="str">
        <f t="shared" si="5"/>
        <v>Февраль</v>
      </c>
    </row>
    <row r="136" spans="1:10" ht="14.4" x14ac:dyDescent="0.3">
      <c r="A136" t="s">
        <v>46</v>
      </c>
      <c r="B136" t="s">
        <v>19</v>
      </c>
      <c r="C136" t="s">
        <v>20</v>
      </c>
      <c r="D136" t="s">
        <v>14</v>
      </c>
      <c r="E136">
        <v>79</v>
      </c>
      <c r="F136" s="3">
        <v>300</v>
      </c>
      <c r="G136" s="3">
        <v>180</v>
      </c>
      <c r="H136" s="3">
        <v>23700</v>
      </c>
      <c r="I136" s="3">
        <v>9480</v>
      </c>
      <c r="J136" t="str">
        <f t="shared" si="5"/>
        <v>Март</v>
      </c>
    </row>
    <row r="137" spans="1:10" ht="14.4" hidden="1" x14ac:dyDescent="0.3">
      <c r="A137" t="s">
        <v>32</v>
      </c>
      <c r="B137" t="s">
        <v>38</v>
      </c>
      <c r="C137" t="s">
        <v>39</v>
      </c>
      <c r="D137" t="s">
        <v>14</v>
      </c>
      <c r="E137">
        <v>156</v>
      </c>
      <c r="F137" s="3">
        <v>120</v>
      </c>
      <c r="G137" s="3">
        <v>72</v>
      </c>
      <c r="H137" s="3">
        <v>18720</v>
      </c>
      <c r="I137" s="3">
        <v>7488</v>
      </c>
      <c r="J137" t="str">
        <f t="shared" si="5"/>
        <v>Январь</v>
      </c>
    </row>
    <row r="138" spans="1:10" ht="14.4" hidden="1" x14ac:dyDescent="0.3">
      <c r="A138" t="s">
        <v>88</v>
      </c>
      <c r="B138" t="s">
        <v>12</v>
      </c>
      <c r="C138" t="s">
        <v>13</v>
      </c>
      <c r="D138" t="s">
        <v>23</v>
      </c>
      <c r="E138">
        <v>368</v>
      </c>
      <c r="F138" s="3">
        <v>80</v>
      </c>
      <c r="G138" s="3">
        <v>48</v>
      </c>
      <c r="H138" s="3">
        <v>29440</v>
      </c>
      <c r="I138" s="3">
        <v>11776</v>
      </c>
      <c r="J138" t="str">
        <f t="shared" si="5"/>
        <v>Январь</v>
      </c>
    </row>
    <row r="139" spans="1:10" ht="14.4" hidden="1" x14ac:dyDescent="0.3">
      <c r="A139" t="s">
        <v>91</v>
      </c>
      <c r="B139" t="s">
        <v>38</v>
      </c>
      <c r="C139" t="s">
        <v>39</v>
      </c>
      <c r="D139" t="s">
        <v>26</v>
      </c>
      <c r="E139">
        <v>97</v>
      </c>
      <c r="F139" s="3">
        <v>120</v>
      </c>
      <c r="G139" s="3">
        <v>72</v>
      </c>
      <c r="H139" s="3">
        <v>11640</v>
      </c>
      <c r="I139" s="3">
        <v>4656</v>
      </c>
      <c r="J139" t="str">
        <f t="shared" si="5"/>
        <v>Январь</v>
      </c>
    </row>
    <row r="140" spans="1:10" ht="14.4" x14ac:dyDescent="0.3">
      <c r="A140" t="s">
        <v>18</v>
      </c>
      <c r="B140" t="s">
        <v>12</v>
      </c>
      <c r="C140" t="s">
        <v>13</v>
      </c>
      <c r="D140" t="s">
        <v>14</v>
      </c>
      <c r="E140">
        <v>285</v>
      </c>
      <c r="F140" s="3">
        <v>80</v>
      </c>
      <c r="G140" s="3">
        <v>48</v>
      </c>
      <c r="H140" s="3">
        <v>22800</v>
      </c>
      <c r="I140" s="3">
        <v>9120</v>
      </c>
      <c r="J140" t="str">
        <f t="shared" si="5"/>
        <v>Март</v>
      </c>
    </row>
    <row r="141" spans="1:10" ht="14.4" hidden="1" x14ac:dyDescent="0.3">
      <c r="A141" t="s">
        <v>63</v>
      </c>
      <c r="B141" t="s">
        <v>19</v>
      </c>
      <c r="C141" t="s">
        <v>20</v>
      </c>
      <c r="D141" t="s">
        <v>23</v>
      </c>
      <c r="E141">
        <v>386</v>
      </c>
      <c r="F141" s="3">
        <v>300</v>
      </c>
      <c r="G141" s="3">
        <v>180</v>
      </c>
      <c r="H141" s="3">
        <v>115800</v>
      </c>
      <c r="I141" s="3">
        <v>46320</v>
      </c>
      <c r="J141" t="str">
        <f t="shared" si="5"/>
        <v>Январь</v>
      </c>
    </row>
    <row r="142" spans="1:10" ht="14.4" hidden="1" x14ac:dyDescent="0.3">
      <c r="A142" t="s">
        <v>99</v>
      </c>
      <c r="B142" t="s">
        <v>16</v>
      </c>
      <c r="C142" t="s">
        <v>17</v>
      </c>
      <c r="D142" t="s">
        <v>31</v>
      </c>
      <c r="E142">
        <v>75</v>
      </c>
      <c r="F142" s="3">
        <v>250</v>
      </c>
      <c r="G142" s="3">
        <v>150</v>
      </c>
      <c r="H142" s="3">
        <v>18750</v>
      </c>
      <c r="I142" s="3">
        <v>7500</v>
      </c>
      <c r="J142" t="str">
        <f t="shared" si="5"/>
        <v>Январь</v>
      </c>
    </row>
    <row r="143" spans="1:10" ht="14.4" hidden="1" x14ac:dyDescent="0.3">
      <c r="A143" t="s">
        <v>64</v>
      </c>
      <c r="B143" t="s">
        <v>16</v>
      </c>
      <c r="C143" t="s">
        <v>17</v>
      </c>
      <c r="D143" t="s">
        <v>14</v>
      </c>
      <c r="E143">
        <v>341</v>
      </c>
      <c r="F143" s="3">
        <v>250</v>
      </c>
      <c r="G143" s="3">
        <v>150</v>
      </c>
      <c r="H143" s="3">
        <v>85250</v>
      </c>
      <c r="I143" s="3">
        <v>34100</v>
      </c>
      <c r="J143" t="str">
        <f t="shared" si="5"/>
        <v>Январь</v>
      </c>
    </row>
    <row r="144" spans="1:10" ht="14.4" x14ac:dyDescent="0.3">
      <c r="A144" t="s">
        <v>18</v>
      </c>
      <c r="B144" t="s">
        <v>12</v>
      </c>
      <c r="C144" t="s">
        <v>13</v>
      </c>
      <c r="D144" t="s">
        <v>14</v>
      </c>
      <c r="E144">
        <v>256</v>
      </c>
      <c r="F144" s="3">
        <v>80</v>
      </c>
      <c r="G144" s="3">
        <v>48</v>
      </c>
      <c r="H144" s="3">
        <v>20480</v>
      </c>
      <c r="I144" s="3">
        <v>8192</v>
      </c>
      <c r="J144" t="str">
        <f t="shared" si="5"/>
        <v>Март</v>
      </c>
    </row>
    <row r="145" spans="1:10" ht="14.4" hidden="1" x14ac:dyDescent="0.3">
      <c r="A145" t="s">
        <v>15</v>
      </c>
      <c r="B145" t="s">
        <v>12</v>
      </c>
      <c r="C145" t="s">
        <v>13</v>
      </c>
      <c r="D145" t="s">
        <v>23</v>
      </c>
      <c r="E145">
        <v>57</v>
      </c>
      <c r="F145" s="3">
        <v>80</v>
      </c>
      <c r="G145" s="3">
        <v>48</v>
      </c>
      <c r="H145" s="3">
        <v>4560</v>
      </c>
      <c r="I145" s="3">
        <v>1824</v>
      </c>
      <c r="J145" t="str">
        <f t="shared" si="5"/>
        <v>Январь</v>
      </c>
    </row>
    <row r="146" spans="1:10" ht="14.4" x14ac:dyDescent="0.3">
      <c r="A146" t="s">
        <v>80</v>
      </c>
      <c r="B146" t="s">
        <v>12</v>
      </c>
      <c r="C146" t="s">
        <v>13</v>
      </c>
      <c r="D146" t="s">
        <v>51</v>
      </c>
      <c r="E146">
        <v>256</v>
      </c>
      <c r="F146" s="3">
        <v>80</v>
      </c>
      <c r="G146" s="3">
        <v>48</v>
      </c>
      <c r="H146" s="3">
        <v>20480</v>
      </c>
      <c r="I146" s="3">
        <v>8192</v>
      </c>
      <c r="J146" t="str">
        <f t="shared" si="5"/>
        <v>Март</v>
      </c>
    </row>
    <row r="147" spans="1:10" ht="14.4" hidden="1" x14ac:dyDescent="0.3">
      <c r="A147" t="s">
        <v>49</v>
      </c>
      <c r="B147" t="s">
        <v>12</v>
      </c>
      <c r="C147" t="s">
        <v>13</v>
      </c>
      <c r="D147" t="s">
        <v>14</v>
      </c>
      <c r="E147">
        <v>404</v>
      </c>
      <c r="F147" s="3">
        <v>80</v>
      </c>
      <c r="G147" s="3">
        <v>48</v>
      </c>
      <c r="H147" s="3">
        <v>32320</v>
      </c>
      <c r="I147" s="3">
        <v>12928</v>
      </c>
      <c r="J147" t="str">
        <f t="shared" si="5"/>
        <v>Февраль</v>
      </c>
    </row>
    <row r="148" spans="1:10" ht="14.4" x14ac:dyDescent="0.3">
      <c r="A148" t="s">
        <v>21</v>
      </c>
      <c r="B148" t="s">
        <v>12</v>
      </c>
      <c r="C148" t="s">
        <v>13</v>
      </c>
      <c r="D148" t="s">
        <v>23</v>
      </c>
      <c r="E148">
        <v>251</v>
      </c>
      <c r="F148" s="3">
        <v>80</v>
      </c>
      <c r="G148" s="3">
        <v>48</v>
      </c>
      <c r="H148" s="3">
        <v>20080</v>
      </c>
      <c r="I148" s="3">
        <v>8032</v>
      </c>
      <c r="J148" t="str">
        <f t="shared" si="5"/>
        <v>Март</v>
      </c>
    </row>
    <row r="149" spans="1:10" ht="14.4" hidden="1" x14ac:dyDescent="0.3">
      <c r="A149" t="s">
        <v>55</v>
      </c>
      <c r="B149" t="s">
        <v>16</v>
      </c>
      <c r="C149" t="s">
        <v>17</v>
      </c>
      <c r="D149" t="s">
        <v>26</v>
      </c>
      <c r="E149">
        <v>229</v>
      </c>
      <c r="F149" s="3">
        <v>250</v>
      </c>
      <c r="G149" s="3">
        <v>150</v>
      </c>
      <c r="H149" s="3">
        <v>57250</v>
      </c>
      <c r="I149" s="3">
        <v>22900</v>
      </c>
      <c r="J149" t="str">
        <f t="shared" si="5"/>
        <v>Февраль</v>
      </c>
    </row>
    <row r="150" spans="1:10" ht="14.4" x14ac:dyDescent="0.3">
      <c r="A150" t="s">
        <v>21</v>
      </c>
      <c r="B150" t="s">
        <v>38</v>
      </c>
      <c r="C150" t="s">
        <v>39</v>
      </c>
      <c r="D150" t="s">
        <v>14</v>
      </c>
      <c r="E150">
        <v>158</v>
      </c>
      <c r="F150" s="3">
        <v>120</v>
      </c>
      <c r="G150" s="3">
        <v>72</v>
      </c>
      <c r="H150" s="3">
        <v>18960</v>
      </c>
      <c r="I150" s="3">
        <v>7584</v>
      </c>
      <c r="J150" t="str">
        <f t="shared" si="5"/>
        <v>Март</v>
      </c>
    </row>
    <row r="151" spans="1:10" ht="14.4" hidden="1" x14ac:dyDescent="0.3">
      <c r="A151" t="s">
        <v>11</v>
      </c>
      <c r="B151" t="s">
        <v>16</v>
      </c>
      <c r="C151" t="s">
        <v>17</v>
      </c>
      <c r="D151" t="s">
        <v>14</v>
      </c>
      <c r="E151">
        <v>352</v>
      </c>
      <c r="F151" s="3">
        <v>250</v>
      </c>
      <c r="G151" s="3">
        <v>150</v>
      </c>
      <c r="H151" s="3">
        <v>88000</v>
      </c>
      <c r="I151" s="3">
        <v>35200</v>
      </c>
      <c r="J151" t="str">
        <f t="shared" si="5"/>
        <v>Февраль</v>
      </c>
    </row>
    <row r="152" spans="1:10" ht="14.4" hidden="1" x14ac:dyDescent="0.3">
      <c r="A152" t="s">
        <v>61</v>
      </c>
      <c r="B152" t="s">
        <v>16</v>
      </c>
      <c r="C152" t="s">
        <v>17</v>
      </c>
      <c r="D152" t="s">
        <v>23</v>
      </c>
      <c r="E152">
        <v>176</v>
      </c>
      <c r="F152" s="3">
        <v>250</v>
      </c>
      <c r="G152" s="3">
        <v>150</v>
      </c>
      <c r="H152" s="3">
        <v>44000</v>
      </c>
      <c r="I152" s="3">
        <v>17600</v>
      </c>
      <c r="J152" t="str">
        <f t="shared" si="5"/>
        <v>Январь</v>
      </c>
    </row>
    <row r="153" spans="1:10" ht="14.4" hidden="1" x14ac:dyDescent="0.3">
      <c r="A153" t="s">
        <v>95</v>
      </c>
      <c r="B153" t="s">
        <v>19</v>
      </c>
      <c r="C153" t="s">
        <v>20</v>
      </c>
      <c r="D153" t="s">
        <v>14</v>
      </c>
      <c r="E153">
        <v>105</v>
      </c>
      <c r="F153" s="3">
        <v>300</v>
      </c>
      <c r="G153" s="3">
        <v>180</v>
      </c>
      <c r="H153" s="3">
        <v>31500</v>
      </c>
      <c r="I153" s="3">
        <v>12600</v>
      </c>
      <c r="J153" t="str">
        <f t="shared" si="5"/>
        <v>Январь</v>
      </c>
    </row>
    <row r="154" spans="1:10" ht="14.4" hidden="1" x14ac:dyDescent="0.3">
      <c r="A154" t="s">
        <v>15</v>
      </c>
      <c r="B154" t="s">
        <v>16</v>
      </c>
      <c r="C154" t="s">
        <v>17</v>
      </c>
      <c r="D154" t="s">
        <v>14</v>
      </c>
      <c r="E154">
        <v>263</v>
      </c>
      <c r="F154" s="3">
        <v>250</v>
      </c>
      <c r="G154" s="3">
        <v>150</v>
      </c>
      <c r="H154" s="3">
        <v>65750</v>
      </c>
      <c r="I154" s="3">
        <v>26300</v>
      </c>
      <c r="J154" t="str">
        <f t="shared" si="5"/>
        <v>Январь</v>
      </c>
    </row>
    <row r="155" spans="1:10" ht="14.4" hidden="1" x14ac:dyDescent="0.3">
      <c r="A155" t="s">
        <v>100</v>
      </c>
      <c r="B155" t="s">
        <v>16</v>
      </c>
      <c r="C155" t="s">
        <v>17</v>
      </c>
      <c r="D155" t="s">
        <v>14</v>
      </c>
      <c r="E155">
        <v>63</v>
      </c>
      <c r="F155" s="3">
        <v>250</v>
      </c>
      <c r="G155" s="3">
        <v>150</v>
      </c>
      <c r="H155" s="3">
        <v>15750</v>
      </c>
      <c r="I155" s="3">
        <v>6300</v>
      </c>
      <c r="J155" t="str">
        <f t="shared" si="5"/>
        <v>Февраль</v>
      </c>
    </row>
    <row r="156" spans="1:10" ht="14.4" hidden="1" x14ac:dyDescent="0.3">
      <c r="A156" t="s">
        <v>85</v>
      </c>
      <c r="B156" t="s">
        <v>12</v>
      </c>
      <c r="C156" t="s">
        <v>13</v>
      </c>
      <c r="D156" t="s">
        <v>14</v>
      </c>
      <c r="E156">
        <v>77</v>
      </c>
      <c r="F156" s="3">
        <v>80</v>
      </c>
      <c r="G156" s="3">
        <v>48</v>
      </c>
      <c r="H156" s="3">
        <v>6160</v>
      </c>
      <c r="I156" s="3">
        <v>2464</v>
      </c>
      <c r="J156" t="str">
        <f t="shared" si="5"/>
        <v>Январь</v>
      </c>
    </row>
    <row r="157" spans="1:10" ht="14.4" hidden="1" x14ac:dyDescent="0.3">
      <c r="A157" t="s">
        <v>71</v>
      </c>
      <c r="B157" t="s">
        <v>38</v>
      </c>
      <c r="C157" t="s">
        <v>39</v>
      </c>
      <c r="D157" t="s">
        <v>23</v>
      </c>
      <c r="E157">
        <v>127</v>
      </c>
      <c r="F157" s="3">
        <v>120</v>
      </c>
      <c r="G157" s="3">
        <v>72</v>
      </c>
      <c r="H157" s="3">
        <v>15240</v>
      </c>
      <c r="I157" s="3">
        <v>6096</v>
      </c>
      <c r="J157" t="str">
        <f t="shared" si="5"/>
        <v>Февраль</v>
      </c>
    </row>
    <row r="158" spans="1:10" ht="14.4" hidden="1" x14ac:dyDescent="0.3">
      <c r="A158" t="s">
        <v>101</v>
      </c>
      <c r="B158" t="s">
        <v>16</v>
      </c>
      <c r="C158" t="s">
        <v>17</v>
      </c>
      <c r="D158" t="s">
        <v>14</v>
      </c>
      <c r="E158">
        <v>265</v>
      </c>
      <c r="F158" s="3">
        <v>250</v>
      </c>
      <c r="G158" s="3">
        <v>150</v>
      </c>
      <c r="H158" s="3">
        <v>66250</v>
      </c>
      <c r="I158" s="3">
        <v>26500</v>
      </c>
      <c r="J158" t="str">
        <f t="shared" si="5"/>
        <v>Январь</v>
      </c>
    </row>
    <row r="159" spans="1:10" ht="14.4" hidden="1" x14ac:dyDescent="0.3">
      <c r="A159" t="s">
        <v>102</v>
      </c>
      <c r="B159" t="s">
        <v>12</v>
      </c>
      <c r="C159" t="s">
        <v>13</v>
      </c>
      <c r="D159" t="s">
        <v>26</v>
      </c>
      <c r="E159">
        <v>435</v>
      </c>
      <c r="F159" s="3">
        <v>80</v>
      </c>
      <c r="G159" s="3">
        <v>48</v>
      </c>
      <c r="H159" s="3">
        <v>34800</v>
      </c>
      <c r="I159" s="3">
        <v>13920</v>
      </c>
      <c r="J159" t="str">
        <f t="shared" si="5"/>
        <v>Февраль</v>
      </c>
    </row>
    <row r="160" spans="1:10" ht="14.4" x14ac:dyDescent="0.3">
      <c r="A160" t="s">
        <v>25</v>
      </c>
      <c r="B160" t="s">
        <v>38</v>
      </c>
      <c r="C160" t="s">
        <v>39</v>
      </c>
      <c r="D160" t="s">
        <v>31</v>
      </c>
      <c r="E160">
        <v>155</v>
      </c>
      <c r="F160" s="3">
        <v>120</v>
      </c>
      <c r="G160" s="3">
        <v>72</v>
      </c>
      <c r="H160" s="3">
        <v>18600</v>
      </c>
      <c r="I160" s="3">
        <v>7440</v>
      </c>
      <c r="J160" t="str">
        <f t="shared" si="5"/>
        <v>Март</v>
      </c>
    </row>
    <row r="161" spans="1:10" ht="14.4" hidden="1" x14ac:dyDescent="0.3">
      <c r="A161" t="s">
        <v>48</v>
      </c>
      <c r="B161" t="s">
        <v>16</v>
      </c>
      <c r="C161" t="s">
        <v>17</v>
      </c>
      <c r="D161" t="s">
        <v>31</v>
      </c>
      <c r="E161">
        <v>203</v>
      </c>
      <c r="F161" s="3">
        <v>250</v>
      </c>
      <c r="G161" s="3">
        <v>150</v>
      </c>
      <c r="H161" s="3">
        <v>50750</v>
      </c>
      <c r="I161" s="3">
        <v>20300</v>
      </c>
      <c r="J161" t="str">
        <f t="shared" si="5"/>
        <v>Февраль</v>
      </c>
    </row>
    <row r="162" spans="1:10" ht="14.4" x14ac:dyDescent="0.3">
      <c r="A162" t="s">
        <v>52</v>
      </c>
      <c r="B162" t="s">
        <v>16</v>
      </c>
      <c r="C162" t="s">
        <v>17</v>
      </c>
      <c r="D162" t="s">
        <v>26</v>
      </c>
      <c r="E162">
        <v>74</v>
      </c>
      <c r="F162" s="3">
        <v>250</v>
      </c>
      <c r="G162" s="3">
        <v>150</v>
      </c>
      <c r="H162" s="3">
        <v>18500</v>
      </c>
      <c r="I162" s="3">
        <v>7400</v>
      </c>
      <c r="J162" t="str">
        <f t="shared" si="5"/>
        <v>Март</v>
      </c>
    </row>
    <row r="163" spans="1:10" ht="14.4" hidden="1" x14ac:dyDescent="0.3">
      <c r="A163" t="s">
        <v>92</v>
      </c>
      <c r="B163" t="s">
        <v>12</v>
      </c>
      <c r="C163" t="s">
        <v>13</v>
      </c>
      <c r="D163" t="s">
        <v>14</v>
      </c>
      <c r="E163">
        <v>236</v>
      </c>
      <c r="F163" s="3">
        <v>80</v>
      </c>
      <c r="G163" s="3">
        <v>48</v>
      </c>
      <c r="H163" s="3">
        <v>18880</v>
      </c>
      <c r="I163" s="3">
        <v>7552</v>
      </c>
      <c r="J163" t="str">
        <f t="shared" si="5"/>
        <v>Январь</v>
      </c>
    </row>
    <row r="164" spans="1:10" ht="14.4" x14ac:dyDescent="0.3">
      <c r="A164" t="s">
        <v>44</v>
      </c>
      <c r="B164" t="s">
        <v>34</v>
      </c>
      <c r="C164" t="s">
        <v>35</v>
      </c>
      <c r="D164" t="s">
        <v>26</v>
      </c>
      <c r="E164">
        <v>100</v>
      </c>
      <c r="F164" s="3">
        <v>150</v>
      </c>
      <c r="G164" s="3">
        <v>90</v>
      </c>
      <c r="H164" s="3">
        <v>15000</v>
      </c>
      <c r="I164" s="3">
        <v>6000</v>
      </c>
      <c r="J164" t="str">
        <f t="shared" si="5"/>
        <v>Март</v>
      </c>
    </row>
    <row r="165" spans="1:10" ht="14.4" hidden="1" x14ac:dyDescent="0.3">
      <c r="A165" t="s">
        <v>49</v>
      </c>
      <c r="B165" t="s">
        <v>38</v>
      </c>
      <c r="C165" t="s">
        <v>39</v>
      </c>
      <c r="D165" t="s">
        <v>31</v>
      </c>
      <c r="E165">
        <v>420</v>
      </c>
      <c r="F165" s="3">
        <v>120</v>
      </c>
      <c r="G165" s="3">
        <v>72</v>
      </c>
      <c r="H165" s="3">
        <v>50400</v>
      </c>
      <c r="I165" s="3">
        <v>20160</v>
      </c>
      <c r="J165" t="str">
        <f t="shared" ref="J165:J198" si="6">TEXT(A165,"ММММ")</f>
        <v>Февраль</v>
      </c>
    </row>
    <row r="166" spans="1:10" ht="14.4" hidden="1" x14ac:dyDescent="0.3">
      <c r="A166" t="s">
        <v>86</v>
      </c>
      <c r="B166" t="s">
        <v>34</v>
      </c>
      <c r="C166" t="s">
        <v>35</v>
      </c>
      <c r="D166" t="s">
        <v>14</v>
      </c>
      <c r="E166">
        <v>56</v>
      </c>
      <c r="F166" s="3">
        <v>150</v>
      </c>
      <c r="G166" s="3">
        <v>90</v>
      </c>
      <c r="H166" s="3">
        <v>8400</v>
      </c>
      <c r="I166" s="3">
        <v>3360</v>
      </c>
      <c r="J166" t="str">
        <f t="shared" si="6"/>
        <v>Февраль</v>
      </c>
    </row>
    <row r="167" spans="1:10" ht="14.4" x14ac:dyDescent="0.3">
      <c r="A167" t="s">
        <v>21</v>
      </c>
      <c r="B167" t="s">
        <v>38</v>
      </c>
      <c r="C167" t="s">
        <v>39</v>
      </c>
      <c r="D167" t="s">
        <v>51</v>
      </c>
      <c r="E167">
        <v>122</v>
      </c>
      <c r="F167" s="3">
        <v>120</v>
      </c>
      <c r="G167" s="3">
        <v>72</v>
      </c>
      <c r="H167" s="3">
        <v>14640</v>
      </c>
      <c r="I167" s="3">
        <v>5856</v>
      </c>
      <c r="J167" t="str">
        <f t="shared" si="6"/>
        <v>Март</v>
      </c>
    </row>
    <row r="168" spans="1:10" ht="14.4" hidden="1" x14ac:dyDescent="0.3">
      <c r="A168" t="s">
        <v>103</v>
      </c>
      <c r="B168" t="s">
        <v>16</v>
      </c>
      <c r="C168" t="s">
        <v>17</v>
      </c>
      <c r="D168" t="s">
        <v>51</v>
      </c>
      <c r="E168">
        <v>160</v>
      </c>
      <c r="F168" s="3">
        <v>250</v>
      </c>
      <c r="G168" s="3">
        <v>150</v>
      </c>
      <c r="H168" s="3">
        <v>40000</v>
      </c>
      <c r="I168" s="3">
        <v>16000</v>
      </c>
      <c r="J168" t="str">
        <f t="shared" si="6"/>
        <v>Февраль</v>
      </c>
    </row>
    <row r="169" spans="1:10" ht="14.4" hidden="1" x14ac:dyDescent="0.3">
      <c r="A169" t="s">
        <v>73</v>
      </c>
      <c r="B169" t="s">
        <v>38</v>
      </c>
      <c r="C169" t="s">
        <v>39</v>
      </c>
      <c r="D169" t="s">
        <v>26</v>
      </c>
      <c r="E169">
        <v>456</v>
      </c>
      <c r="F169" s="3">
        <v>120</v>
      </c>
      <c r="G169" s="3">
        <v>72</v>
      </c>
      <c r="H169" s="3">
        <v>54720</v>
      </c>
      <c r="I169" s="3">
        <v>21888</v>
      </c>
      <c r="J169" t="str">
        <f t="shared" si="6"/>
        <v>Январь</v>
      </c>
    </row>
    <row r="170" spans="1:10" ht="14.4" hidden="1" x14ac:dyDescent="0.3">
      <c r="A170" t="s">
        <v>92</v>
      </c>
      <c r="B170" t="s">
        <v>16</v>
      </c>
      <c r="C170" t="s">
        <v>17</v>
      </c>
      <c r="D170" t="s">
        <v>31</v>
      </c>
      <c r="E170">
        <v>287</v>
      </c>
      <c r="F170" s="3">
        <v>250</v>
      </c>
      <c r="G170" s="3">
        <v>150</v>
      </c>
      <c r="H170" s="3">
        <v>71750</v>
      </c>
      <c r="I170" s="3">
        <v>28700</v>
      </c>
      <c r="J170" t="str">
        <f t="shared" si="6"/>
        <v>Январь</v>
      </c>
    </row>
    <row r="171" spans="1:10" ht="14.4" hidden="1" x14ac:dyDescent="0.3">
      <c r="A171" t="s">
        <v>92</v>
      </c>
      <c r="B171" t="s">
        <v>12</v>
      </c>
      <c r="C171" t="s">
        <v>13</v>
      </c>
      <c r="D171" t="s">
        <v>23</v>
      </c>
      <c r="E171">
        <v>412</v>
      </c>
      <c r="F171" s="3">
        <v>80</v>
      </c>
      <c r="G171" s="3">
        <v>48</v>
      </c>
      <c r="H171" s="3">
        <v>32960</v>
      </c>
      <c r="I171" s="3">
        <v>13184</v>
      </c>
      <c r="J171" t="str">
        <f t="shared" si="6"/>
        <v>Январь</v>
      </c>
    </row>
    <row r="172" spans="1:10" ht="14.4" hidden="1" x14ac:dyDescent="0.3">
      <c r="A172" t="s">
        <v>67</v>
      </c>
      <c r="B172" t="s">
        <v>16</v>
      </c>
      <c r="C172" t="s">
        <v>17</v>
      </c>
      <c r="D172" t="s">
        <v>14</v>
      </c>
      <c r="E172">
        <v>288</v>
      </c>
      <c r="F172" s="3">
        <v>250</v>
      </c>
      <c r="G172" s="3">
        <v>150</v>
      </c>
      <c r="H172" s="3">
        <v>72000</v>
      </c>
      <c r="I172" s="3">
        <v>28800</v>
      </c>
      <c r="J172" t="str">
        <f t="shared" si="6"/>
        <v>Февраль</v>
      </c>
    </row>
    <row r="173" spans="1:10" ht="14.4" x14ac:dyDescent="0.3">
      <c r="A173" t="s">
        <v>21</v>
      </c>
      <c r="B173" t="s">
        <v>38</v>
      </c>
      <c r="C173" t="s">
        <v>39</v>
      </c>
      <c r="D173" t="s">
        <v>51</v>
      </c>
      <c r="E173">
        <v>115</v>
      </c>
      <c r="F173" s="3">
        <v>120</v>
      </c>
      <c r="G173" s="3">
        <v>72</v>
      </c>
      <c r="H173" s="3">
        <v>13800</v>
      </c>
      <c r="I173" s="3">
        <v>5520</v>
      </c>
      <c r="J173" t="str">
        <f t="shared" si="6"/>
        <v>Март</v>
      </c>
    </row>
    <row r="174" spans="1:10" ht="14.4" hidden="1" x14ac:dyDescent="0.3">
      <c r="A174" t="s">
        <v>40</v>
      </c>
      <c r="B174" t="s">
        <v>34</v>
      </c>
      <c r="C174" t="s">
        <v>35</v>
      </c>
      <c r="D174" t="s">
        <v>51</v>
      </c>
      <c r="E174">
        <v>343</v>
      </c>
      <c r="F174" s="3">
        <v>150</v>
      </c>
      <c r="G174" s="3">
        <v>90</v>
      </c>
      <c r="H174" s="3">
        <v>51450</v>
      </c>
      <c r="I174" s="3">
        <v>20580</v>
      </c>
      <c r="J174" t="str">
        <f t="shared" si="6"/>
        <v>Январь</v>
      </c>
    </row>
    <row r="175" spans="1:10" ht="14.4" x14ac:dyDescent="0.3">
      <c r="A175" t="s">
        <v>75</v>
      </c>
      <c r="B175" t="s">
        <v>34</v>
      </c>
      <c r="C175" t="s">
        <v>35</v>
      </c>
      <c r="D175" t="s">
        <v>23</v>
      </c>
      <c r="E175">
        <v>88</v>
      </c>
      <c r="F175" s="3">
        <v>150</v>
      </c>
      <c r="G175" s="3">
        <v>90</v>
      </c>
      <c r="H175" s="3">
        <v>13200</v>
      </c>
      <c r="I175" s="3">
        <v>5280</v>
      </c>
      <c r="J175" t="str">
        <f t="shared" si="6"/>
        <v>Март</v>
      </c>
    </row>
    <row r="176" spans="1:10" ht="14.4" x14ac:dyDescent="0.3">
      <c r="A176" t="s">
        <v>53</v>
      </c>
      <c r="B176" t="s">
        <v>38</v>
      </c>
      <c r="C176" t="s">
        <v>39</v>
      </c>
      <c r="D176" t="s">
        <v>23</v>
      </c>
      <c r="E176">
        <v>110</v>
      </c>
      <c r="F176" s="3">
        <v>120</v>
      </c>
      <c r="G176" s="3">
        <v>72</v>
      </c>
      <c r="H176" s="3">
        <v>13200</v>
      </c>
      <c r="I176" s="3">
        <v>5280</v>
      </c>
      <c r="J176" t="str">
        <f t="shared" si="6"/>
        <v>Март</v>
      </c>
    </row>
    <row r="177" spans="1:10" ht="14.4" x14ac:dyDescent="0.3">
      <c r="A177" t="s">
        <v>24</v>
      </c>
      <c r="B177" t="s">
        <v>34</v>
      </c>
      <c r="C177" t="s">
        <v>35</v>
      </c>
      <c r="D177" t="s">
        <v>23</v>
      </c>
      <c r="E177">
        <v>83</v>
      </c>
      <c r="F177" s="3">
        <v>150</v>
      </c>
      <c r="G177" s="3">
        <v>90</v>
      </c>
      <c r="H177" s="3">
        <v>12450</v>
      </c>
      <c r="I177" s="3">
        <v>4980</v>
      </c>
      <c r="J177" t="str">
        <f t="shared" si="6"/>
        <v>Март</v>
      </c>
    </row>
    <row r="178" spans="1:10" ht="14.4" x14ac:dyDescent="0.3">
      <c r="A178" t="s">
        <v>80</v>
      </c>
      <c r="B178" t="s">
        <v>38</v>
      </c>
      <c r="C178" t="s">
        <v>39</v>
      </c>
      <c r="D178" t="s">
        <v>23</v>
      </c>
      <c r="E178">
        <v>102</v>
      </c>
      <c r="F178" s="3">
        <v>120</v>
      </c>
      <c r="G178" s="3">
        <v>72</v>
      </c>
      <c r="H178" s="3">
        <v>12240</v>
      </c>
      <c r="I178" s="3">
        <v>4896</v>
      </c>
      <c r="J178" t="str">
        <f t="shared" si="6"/>
        <v>Март</v>
      </c>
    </row>
    <row r="179" spans="1:10" ht="14.4" hidden="1" x14ac:dyDescent="0.3">
      <c r="A179" t="s">
        <v>88</v>
      </c>
      <c r="B179" t="s">
        <v>16</v>
      </c>
      <c r="C179" t="s">
        <v>17</v>
      </c>
      <c r="D179" t="s">
        <v>26</v>
      </c>
      <c r="E179">
        <v>168</v>
      </c>
      <c r="F179" s="3">
        <v>250</v>
      </c>
      <c r="G179" s="3">
        <v>150</v>
      </c>
      <c r="H179" s="3">
        <v>42000</v>
      </c>
      <c r="I179" s="3">
        <v>16800</v>
      </c>
      <c r="J179" t="str">
        <f t="shared" si="6"/>
        <v>Январь</v>
      </c>
    </row>
    <row r="180" spans="1:10" ht="14.4" hidden="1" x14ac:dyDescent="0.3">
      <c r="A180" t="s">
        <v>99</v>
      </c>
      <c r="B180" t="s">
        <v>16</v>
      </c>
      <c r="C180" t="s">
        <v>17</v>
      </c>
      <c r="D180" t="s">
        <v>14</v>
      </c>
      <c r="E180">
        <v>77</v>
      </c>
      <c r="F180" s="3">
        <v>250</v>
      </c>
      <c r="G180" s="3">
        <v>150</v>
      </c>
      <c r="H180" s="3">
        <v>19250</v>
      </c>
      <c r="I180" s="3">
        <v>7700</v>
      </c>
      <c r="J180" t="str">
        <f t="shared" si="6"/>
        <v>Январь</v>
      </c>
    </row>
    <row r="181" spans="1:10" ht="14.4" x14ac:dyDescent="0.3">
      <c r="A181" t="s">
        <v>98</v>
      </c>
      <c r="B181" t="s">
        <v>38</v>
      </c>
      <c r="C181" t="s">
        <v>39</v>
      </c>
      <c r="D181" t="s">
        <v>14</v>
      </c>
      <c r="E181">
        <v>88</v>
      </c>
      <c r="F181" s="3">
        <v>120</v>
      </c>
      <c r="G181" s="3">
        <v>72</v>
      </c>
      <c r="H181" s="3">
        <v>10560</v>
      </c>
      <c r="I181" s="3">
        <v>4224</v>
      </c>
      <c r="J181" t="str">
        <f t="shared" si="6"/>
        <v>Март</v>
      </c>
    </row>
    <row r="182" spans="1:10" ht="14.4" x14ac:dyDescent="0.3">
      <c r="A182" t="s">
        <v>62</v>
      </c>
      <c r="B182" t="s">
        <v>12</v>
      </c>
      <c r="C182" t="s">
        <v>13</v>
      </c>
      <c r="D182" t="s">
        <v>23</v>
      </c>
      <c r="E182">
        <v>103</v>
      </c>
      <c r="F182" s="3">
        <v>80</v>
      </c>
      <c r="G182" s="3">
        <v>48</v>
      </c>
      <c r="H182" s="3">
        <v>8240</v>
      </c>
      <c r="I182" s="3">
        <v>3296</v>
      </c>
      <c r="J182" t="str">
        <f t="shared" si="6"/>
        <v>Март</v>
      </c>
    </row>
    <row r="183" spans="1:10" ht="14.4" hidden="1" x14ac:dyDescent="0.3">
      <c r="A183" t="s">
        <v>32</v>
      </c>
      <c r="B183" t="s">
        <v>38</v>
      </c>
      <c r="C183" t="s">
        <v>39</v>
      </c>
      <c r="D183" t="s">
        <v>26</v>
      </c>
      <c r="E183">
        <v>490</v>
      </c>
      <c r="F183" s="3">
        <v>120</v>
      </c>
      <c r="G183" s="3">
        <v>72</v>
      </c>
      <c r="H183" s="3">
        <v>58800</v>
      </c>
      <c r="I183" s="3">
        <v>23520</v>
      </c>
      <c r="J183" t="str">
        <f t="shared" si="6"/>
        <v>Январь</v>
      </c>
    </row>
    <row r="184" spans="1:10" ht="14.4" x14ac:dyDescent="0.3">
      <c r="A184" t="s">
        <v>44</v>
      </c>
      <c r="B184" t="s">
        <v>34</v>
      </c>
      <c r="C184" t="s">
        <v>35</v>
      </c>
      <c r="D184" t="s">
        <v>14</v>
      </c>
      <c r="E184">
        <v>54</v>
      </c>
      <c r="F184" s="3">
        <v>150</v>
      </c>
      <c r="G184" s="3">
        <v>90</v>
      </c>
      <c r="H184" s="3">
        <v>8100</v>
      </c>
      <c r="I184" s="3">
        <v>3240</v>
      </c>
      <c r="J184" t="str">
        <f t="shared" si="6"/>
        <v>Март</v>
      </c>
    </row>
    <row r="185" spans="1:10" ht="14.4" x14ac:dyDescent="0.3">
      <c r="A185" t="s">
        <v>77</v>
      </c>
      <c r="B185" t="s">
        <v>12</v>
      </c>
      <c r="C185" t="s">
        <v>13</v>
      </c>
      <c r="D185" t="s">
        <v>14</v>
      </c>
      <c r="E185">
        <v>95</v>
      </c>
      <c r="F185" s="3">
        <v>80</v>
      </c>
      <c r="G185" s="3">
        <v>48</v>
      </c>
      <c r="H185" s="3">
        <v>7600</v>
      </c>
      <c r="I185" s="3">
        <v>3040</v>
      </c>
      <c r="J185" t="str">
        <f t="shared" si="6"/>
        <v>Март</v>
      </c>
    </row>
    <row r="186" spans="1:10" ht="14.4" hidden="1" x14ac:dyDescent="0.3">
      <c r="A186" t="s">
        <v>99</v>
      </c>
      <c r="B186" t="s">
        <v>38</v>
      </c>
      <c r="C186" t="s">
        <v>39</v>
      </c>
      <c r="D186" t="s">
        <v>14</v>
      </c>
      <c r="E186">
        <v>135</v>
      </c>
      <c r="F186" s="3">
        <v>120</v>
      </c>
      <c r="G186" s="3">
        <v>72</v>
      </c>
      <c r="H186" s="3">
        <v>16200</v>
      </c>
      <c r="I186" s="3">
        <v>6480</v>
      </c>
      <c r="J186" t="str">
        <f t="shared" si="6"/>
        <v>Январь</v>
      </c>
    </row>
    <row r="187" spans="1:10" ht="14.4" hidden="1" x14ac:dyDescent="0.3">
      <c r="A187" t="s">
        <v>64</v>
      </c>
      <c r="B187" t="s">
        <v>12</v>
      </c>
      <c r="C187" t="s">
        <v>13</v>
      </c>
      <c r="D187" t="s">
        <v>14</v>
      </c>
      <c r="E187">
        <v>175</v>
      </c>
      <c r="F187" s="3">
        <v>80</v>
      </c>
      <c r="G187" s="3">
        <v>48</v>
      </c>
      <c r="H187" s="3">
        <v>14000</v>
      </c>
      <c r="I187" s="3">
        <v>5600</v>
      </c>
      <c r="J187" t="str">
        <f t="shared" si="6"/>
        <v>Январь</v>
      </c>
    </row>
    <row r="188" spans="1:10" ht="14.4" x14ac:dyDescent="0.3">
      <c r="A188" t="s">
        <v>57</v>
      </c>
      <c r="B188" t="s">
        <v>38</v>
      </c>
      <c r="C188" t="s">
        <v>39</v>
      </c>
      <c r="D188" t="s">
        <v>14</v>
      </c>
      <c r="E188">
        <v>57</v>
      </c>
      <c r="F188" s="3">
        <v>120</v>
      </c>
      <c r="G188" s="3">
        <v>72</v>
      </c>
      <c r="H188" s="3">
        <v>6840</v>
      </c>
      <c r="I188" s="3">
        <v>2736</v>
      </c>
      <c r="J188" t="str">
        <f t="shared" si="6"/>
        <v>Март</v>
      </c>
    </row>
    <row r="189" spans="1:10" ht="14.4" hidden="1" x14ac:dyDescent="0.3">
      <c r="A189" t="s">
        <v>97</v>
      </c>
      <c r="B189" t="s">
        <v>12</v>
      </c>
      <c r="C189" t="s">
        <v>13</v>
      </c>
      <c r="D189" t="s">
        <v>14</v>
      </c>
      <c r="E189">
        <v>74</v>
      </c>
      <c r="F189" s="3">
        <v>80</v>
      </c>
      <c r="G189" s="3">
        <v>48</v>
      </c>
      <c r="H189" s="3">
        <v>5920</v>
      </c>
      <c r="I189" s="3">
        <v>2368</v>
      </c>
      <c r="J189" t="str">
        <f t="shared" si="6"/>
        <v>Февраль</v>
      </c>
    </row>
    <row r="190" spans="1:10" ht="14.4" hidden="1" x14ac:dyDescent="0.3">
      <c r="A190" t="s">
        <v>55</v>
      </c>
      <c r="B190" t="s">
        <v>16</v>
      </c>
      <c r="C190" t="s">
        <v>17</v>
      </c>
      <c r="D190" t="s">
        <v>51</v>
      </c>
      <c r="E190">
        <v>194</v>
      </c>
      <c r="F190" s="3">
        <v>250</v>
      </c>
      <c r="G190" s="3">
        <v>150</v>
      </c>
      <c r="H190" s="3">
        <v>48500</v>
      </c>
      <c r="I190" s="3">
        <v>19400</v>
      </c>
      <c r="J190" t="str">
        <f t="shared" si="6"/>
        <v>Февраль</v>
      </c>
    </row>
    <row r="191" spans="1:10" ht="14.4" hidden="1" x14ac:dyDescent="0.3">
      <c r="A191" t="s">
        <v>67</v>
      </c>
      <c r="B191" t="s">
        <v>16</v>
      </c>
      <c r="C191" t="s">
        <v>17</v>
      </c>
      <c r="D191" t="s">
        <v>51</v>
      </c>
      <c r="E191">
        <v>62</v>
      </c>
      <c r="F191" s="3">
        <v>250</v>
      </c>
      <c r="G191" s="3">
        <v>150</v>
      </c>
      <c r="H191" s="3">
        <v>15500</v>
      </c>
      <c r="I191" s="3">
        <v>6200</v>
      </c>
      <c r="J191" t="str">
        <f t="shared" si="6"/>
        <v>Февраль</v>
      </c>
    </row>
    <row r="192" spans="1:10" ht="14.4" hidden="1" x14ac:dyDescent="0.3">
      <c r="A192" t="s">
        <v>30</v>
      </c>
      <c r="B192" t="s">
        <v>38</v>
      </c>
      <c r="C192" t="s">
        <v>39</v>
      </c>
      <c r="D192" t="s">
        <v>26</v>
      </c>
      <c r="E192">
        <v>261</v>
      </c>
      <c r="F192" s="3">
        <v>120</v>
      </c>
      <c r="G192" s="3">
        <v>72</v>
      </c>
      <c r="H192" s="3">
        <v>31320</v>
      </c>
      <c r="I192" s="3">
        <v>12528</v>
      </c>
      <c r="J192" t="str">
        <f t="shared" si="6"/>
        <v>Январь</v>
      </c>
    </row>
    <row r="193" spans="1:10" ht="14.4" x14ac:dyDescent="0.3">
      <c r="A193" t="s">
        <v>27</v>
      </c>
      <c r="B193" t="s">
        <v>12</v>
      </c>
      <c r="C193" t="s">
        <v>13</v>
      </c>
      <c r="D193" t="s">
        <v>14</v>
      </c>
      <c r="E193">
        <v>64</v>
      </c>
      <c r="F193" s="3">
        <v>80</v>
      </c>
      <c r="G193" s="3">
        <v>48</v>
      </c>
      <c r="H193" s="3">
        <v>5120</v>
      </c>
      <c r="I193" s="3">
        <v>2048</v>
      </c>
      <c r="J193" t="str">
        <f t="shared" si="6"/>
        <v>Март</v>
      </c>
    </row>
    <row r="194" spans="1:10" ht="14.4" hidden="1" x14ac:dyDescent="0.3">
      <c r="A194" t="s">
        <v>48</v>
      </c>
      <c r="B194" t="s">
        <v>16</v>
      </c>
      <c r="C194" t="s">
        <v>17</v>
      </c>
      <c r="D194" t="s">
        <v>23</v>
      </c>
      <c r="E194">
        <v>117</v>
      </c>
      <c r="F194" s="3">
        <v>250</v>
      </c>
      <c r="G194" s="3">
        <v>150</v>
      </c>
      <c r="H194" s="3">
        <v>29250</v>
      </c>
      <c r="I194" s="3">
        <v>11700</v>
      </c>
      <c r="J194" t="str">
        <f t="shared" si="6"/>
        <v>Февраль</v>
      </c>
    </row>
    <row r="195" spans="1:10" ht="14.4" hidden="1" x14ac:dyDescent="0.3">
      <c r="A195" t="s">
        <v>102</v>
      </c>
      <c r="B195" t="s">
        <v>16</v>
      </c>
      <c r="C195" t="s">
        <v>17</v>
      </c>
      <c r="D195" t="s">
        <v>31</v>
      </c>
      <c r="E195">
        <v>443</v>
      </c>
      <c r="F195" s="3">
        <v>250</v>
      </c>
      <c r="G195" s="3">
        <v>150</v>
      </c>
      <c r="H195" s="3">
        <v>110750</v>
      </c>
      <c r="I195" s="3">
        <v>44300</v>
      </c>
      <c r="J195" t="str">
        <f t="shared" si="6"/>
        <v>Февраль</v>
      </c>
    </row>
    <row r="196" spans="1:10" ht="14.4" x14ac:dyDescent="0.3">
      <c r="A196" t="s">
        <v>70</v>
      </c>
      <c r="B196" t="s">
        <v>12</v>
      </c>
      <c r="C196" t="s">
        <v>13</v>
      </c>
      <c r="D196" t="s">
        <v>23</v>
      </c>
      <c r="E196">
        <v>63</v>
      </c>
      <c r="F196" s="3">
        <v>80</v>
      </c>
      <c r="G196" s="3">
        <v>48</v>
      </c>
      <c r="H196" s="3">
        <v>5040</v>
      </c>
      <c r="I196" s="3">
        <v>2016</v>
      </c>
      <c r="J196" t="str">
        <f t="shared" si="6"/>
        <v>Март</v>
      </c>
    </row>
    <row r="197" spans="1:10" ht="14.4" hidden="1" x14ac:dyDescent="0.3">
      <c r="A197" t="s">
        <v>11</v>
      </c>
      <c r="B197" t="s">
        <v>19</v>
      </c>
      <c r="C197" t="s">
        <v>20</v>
      </c>
      <c r="D197" t="s">
        <v>51</v>
      </c>
      <c r="E197">
        <v>282</v>
      </c>
      <c r="F197" s="3">
        <v>300</v>
      </c>
      <c r="G197" s="3">
        <v>180</v>
      </c>
      <c r="H197" s="3">
        <v>84600</v>
      </c>
      <c r="I197" s="3">
        <v>33840</v>
      </c>
      <c r="J197" t="str">
        <f t="shared" si="6"/>
        <v>Февраль</v>
      </c>
    </row>
    <row r="198" spans="1:10" ht="14.4" x14ac:dyDescent="0.3">
      <c r="A198" t="s">
        <v>21</v>
      </c>
      <c r="B198" t="s">
        <v>12</v>
      </c>
      <c r="C198" t="s">
        <v>13</v>
      </c>
      <c r="D198" t="s">
        <v>26</v>
      </c>
      <c r="E198">
        <v>52</v>
      </c>
      <c r="F198" s="3">
        <v>80</v>
      </c>
      <c r="G198" s="3">
        <v>48</v>
      </c>
      <c r="H198" s="3">
        <v>4160</v>
      </c>
      <c r="I198" s="3">
        <v>1664</v>
      </c>
      <c r="J198" t="str">
        <f t="shared" si="6"/>
        <v>Март</v>
      </c>
    </row>
    <row r="199" spans="1:10" ht="14.4" hidden="1" x14ac:dyDescent="0.3">
      <c r="A199" t="s">
        <v>45</v>
      </c>
      <c r="B199" t="s">
        <v>12</v>
      </c>
      <c r="C199" t="s">
        <v>13</v>
      </c>
      <c r="D199" t="s">
        <v>14</v>
      </c>
      <c r="E199">
        <v>195</v>
      </c>
      <c r="F199" s="3">
        <v>80</v>
      </c>
      <c r="G199" s="3">
        <v>48</v>
      </c>
      <c r="H199" s="3">
        <v>15600</v>
      </c>
      <c r="I199" s="3">
        <v>6240</v>
      </c>
      <c r="J199" t="str">
        <f t="shared" ref="J199:J202" si="7">TEXT(A199,"ММММ")</f>
        <v>Февраль</v>
      </c>
    </row>
    <row r="200" spans="1:10" ht="14.4" hidden="1" x14ac:dyDescent="0.3">
      <c r="A200" t="s">
        <v>11</v>
      </c>
      <c r="B200" t="s">
        <v>16</v>
      </c>
      <c r="C200" t="s">
        <v>17</v>
      </c>
      <c r="D200" t="s">
        <v>14</v>
      </c>
      <c r="E200">
        <v>160</v>
      </c>
      <c r="F200" s="3">
        <v>250</v>
      </c>
      <c r="G200" s="3">
        <v>150</v>
      </c>
      <c r="H200" s="3">
        <v>40000</v>
      </c>
      <c r="I200" s="3">
        <v>16000</v>
      </c>
      <c r="J200" t="str">
        <f t="shared" si="7"/>
        <v>Февраль</v>
      </c>
    </row>
    <row r="201" spans="1:10" ht="14.4" hidden="1" x14ac:dyDescent="0.3">
      <c r="A201" t="s">
        <v>94</v>
      </c>
      <c r="B201" t="s">
        <v>12</v>
      </c>
      <c r="C201" t="s">
        <v>13</v>
      </c>
      <c r="D201" t="s">
        <v>26</v>
      </c>
      <c r="E201">
        <v>277</v>
      </c>
      <c r="F201" s="3">
        <v>80</v>
      </c>
      <c r="G201" s="3">
        <v>48</v>
      </c>
      <c r="H201" s="3">
        <v>22160</v>
      </c>
      <c r="I201" s="3">
        <v>8864</v>
      </c>
      <c r="J201" t="str">
        <f t="shared" si="7"/>
        <v>Январь</v>
      </c>
    </row>
    <row r="202" spans="1:10" ht="14.4" hidden="1" x14ac:dyDescent="0.3">
      <c r="A202" t="s">
        <v>59</v>
      </c>
      <c r="B202" t="s">
        <v>12</v>
      </c>
      <c r="C202" t="s">
        <v>13</v>
      </c>
      <c r="D202" t="s">
        <v>23</v>
      </c>
      <c r="E202">
        <v>160</v>
      </c>
      <c r="F202" s="3">
        <v>80</v>
      </c>
      <c r="G202" s="3">
        <v>48</v>
      </c>
      <c r="H202" s="3">
        <v>12800</v>
      </c>
      <c r="I202" s="3">
        <v>5120</v>
      </c>
      <c r="J202" t="str">
        <f t="shared" si="7"/>
        <v>Февраль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A253-FEBC-4A53-81C7-C8B976ED8FA5}">
  <dimension ref="A1:C7"/>
  <sheetViews>
    <sheetView workbookViewId="0">
      <selection activeCell="D3" sqref="D3"/>
    </sheetView>
  </sheetViews>
  <sheetFormatPr defaultRowHeight="14.4" x14ac:dyDescent="0.3"/>
  <cols>
    <col min="1" max="1" width="11.88671875" bestFit="1" customWidth="1"/>
    <col min="2" max="2" width="20.88671875" style="3" bestFit="1" customWidth="1"/>
    <col min="3" max="3" width="12.5546875" bestFit="1" customWidth="1"/>
  </cols>
  <sheetData>
    <row r="1" spans="1:3" x14ac:dyDescent="0.3">
      <c r="A1" s="7" t="s">
        <v>2</v>
      </c>
      <c r="B1" s="23" t="s">
        <v>104</v>
      </c>
      <c r="C1" s="7" t="s">
        <v>105</v>
      </c>
    </row>
    <row r="2" spans="1:3" x14ac:dyDescent="0.3">
      <c r="A2" s="8" t="s">
        <v>16</v>
      </c>
      <c r="B2" s="24">
        <v>3500000</v>
      </c>
      <c r="C2" s="9">
        <v>0.42</v>
      </c>
    </row>
    <row r="3" spans="1:3" x14ac:dyDescent="0.3">
      <c r="A3" s="8" t="s">
        <v>12</v>
      </c>
      <c r="B3" s="24">
        <v>2500000</v>
      </c>
      <c r="C3" s="9">
        <v>0.3</v>
      </c>
    </row>
    <row r="4" spans="1:3" x14ac:dyDescent="0.3">
      <c r="A4" s="8" t="s">
        <v>38</v>
      </c>
      <c r="B4" s="24">
        <v>1200000</v>
      </c>
      <c r="C4" s="9">
        <v>0.14000000000000001</v>
      </c>
    </row>
    <row r="5" spans="1:3" x14ac:dyDescent="0.3">
      <c r="A5" s="8" t="s">
        <v>19</v>
      </c>
      <c r="B5" s="24">
        <v>800000</v>
      </c>
      <c r="C5" s="9">
        <v>0.1</v>
      </c>
    </row>
    <row r="6" spans="1:3" x14ac:dyDescent="0.3">
      <c r="A6" s="8" t="s">
        <v>34</v>
      </c>
      <c r="B6" s="24">
        <v>300000</v>
      </c>
      <c r="C6" s="9">
        <v>0.04</v>
      </c>
    </row>
    <row r="7" spans="1:3" x14ac:dyDescent="0.3">
      <c r="A7" s="10" t="s">
        <v>106</v>
      </c>
      <c r="B7" s="25">
        <v>8300000</v>
      </c>
      <c r="C7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00CB-9CC4-48A0-B4DF-975FF7B8BFA7}">
  <dimension ref="A1:E7"/>
  <sheetViews>
    <sheetView workbookViewId="0">
      <selection activeCell="E3" sqref="E3"/>
    </sheetView>
  </sheetViews>
  <sheetFormatPr defaultRowHeight="14.4" x14ac:dyDescent="0.3"/>
  <cols>
    <col min="1" max="1" width="12" bestFit="1" customWidth="1"/>
    <col min="2" max="3" width="13.6640625" style="3" bestFit="1" customWidth="1"/>
    <col min="4" max="4" width="15.88671875" bestFit="1" customWidth="1"/>
    <col min="5" max="5" width="9.109375" style="6"/>
  </cols>
  <sheetData>
    <row r="1" spans="1:5" x14ac:dyDescent="0.3">
      <c r="A1" s="15" t="s">
        <v>2</v>
      </c>
      <c r="B1" s="16" t="s">
        <v>107</v>
      </c>
      <c r="C1" s="16" t="s">
        <v>108</v>
      </c>
      <c r="D1" s="17" t="s">
        <v>109</v>
      </c>
      <c r="E1" s="18" t="s">
        <v>110</v>
      </c>
    </row>
    <row r="2" spans="1:5" x14ac:dyDescent="0.3">
      <c r="A2" s="14" t="s">
        <v>16</v>
      </c>
      <c r="B2" s="3">
        <f>VLOOKUP(A2,'План на квартал'!$A$1:$B$7,2,0)</f>
        <v>3500000</v>
      </c>
      <c r="C2" s="3">
        <f>SUMIF(Данные!B:B,A2,Данные!H:H)</f>
        <v>5446000</v>
      </c>
      <c r="D2" s="3">
        <f>C2-B2</f>
        <v>1946000</v>
      </c>
      <c r="E2" s="6">
        <f>C2/B2</f>
        <v>1.556</v>
      </c>
    </row>
    <row r="3" spans="1:5" x14ac:dyDescent="0.3">
      <c r="A3" s="14" t="s">
        <v>12</v>
      </c>
      <c r="B3" s="3">
        <f>VLOOKUP(A3,'План на квартал'!$A$1:$B$7,2,0)</f>
        <v>2500000</v>
      </c>
      <c r="C3" s="3">
        <f>SUMIF(Данные!B:B,A3,Данные!H:H)</f>
        <v>1080320</v>
      </c>
      <c r="D3" s="3">
        <f t="shared" ref="D3:D7" si="0">C3-B3</f>
        <v>-1419680</v>
      </c>
      <c r="E3" s="6">
        <f t="shared" ref="E3:E7" si="1">C3/B3</f>
        <v>0.43212800000000001</v>
      </c>
    </row>
    <row r="4" spans="1:5" x14ac:dyDescent="0.3">
      <c r="A4" s="14" t="s">
        <v>38</v>
      </c>
      <c r="B4" s="3">
        <f>VLOOKUP(A4,'План на квартал'!$A$1:$B$7,2,0)</f>
        <v>1200000</v>
      </c>
      <c r="C4" s="3">
        <f>SUMIF(Данные!B:B,A4,Данные!H:H)</f>
        <v>978000</v>
      </c>
      <c r="D4" s="3">
        <f t="shared" si="0"/>
        <v>-222000</v>
      </c>
      <c r="E4" s="6">
        <f t="shared" si="1"/>
        <v>0.81499999999999995</v>
      </c>
    </row>
    <row r="5" spans="1:5" x14ac:dyDescent="0.3">
      <c r="A5" s="14" t="s">
        <v>19</v>
      </c>
      <c r="B5" s="3">
        <f>VLOOKUP(A5,'План на квартал'!$A$1:$B$7,2,0)</f>
        <v>800000</v>
      </c>
      <c r="C5" s="3">
        <f>SUMIF(Данные!B:B,A5,Данные!H:H)</f>
        <v>1346100</v>
      </c>
      <c r="D5" s="3">
        <f t="shared" si="0"/>
        <v>546100</v>
      </c>
      <c r="E5" s="6">
        <f t="shared" si="1"/>
        <v>1.682625</v>
      </c>
    </row>
    <row r="6" spans="1:5" x14ac:dyDescent="0.3">
      <c r="A6" s="14" t="s">
        <v>34</v>
      </c>
      <c r="B6" s="3">
        <f>VLOOKUP(A6,'План на квартал'!$A$1:$B$7,2,0)</f>
        <v>300000</v>
      </c>
      <c r="C6" s="3">
        <f>SUMIF(Данные!B:B,A6,Данные!H:H)</f>
        <v>718050</v>
      </c>
      <c r="D6" s="3">
        <f t="shared" si="0"/>
        <v>418050</v>
      </c>
      <c r="E6" s="6">
        <f t="shared" si="1"/>
        <v>2.3935</v>
      </c>
    </row>
    <row r="7" spans="1:5" x14ac:dyDescent="0.3">
      <c r="A7" s="10" t="s">
        <v>106</v>
      </c>
      <c r="B7" s="3">
        <f>VLOOKUP(A7,'План на квартал'!$A$1:$B$7,2,0)</f>
        <v>8300000</v>
      </c>
      <c r="C7" s="3">
        <f>SUM(C2:C6)</f>
        <v>9568470</v>
      </c>
      <c r="D7" s="3">
        <f t="shared" si="0"/>
        <v>1268470</v>
      </c>
      <c r="E7" s="6">
        <f t="shared" si="1"/>
        <v>1.1528277108433735</v>
      </c>
    </row>
  </sheetData>
  <conditionalFormatting sqref="E2:E7">
    <cfRule type="cellIs" dxfId="13" priority="1" operator="lessThan">
      <formula>1</formula>
    </cfRule>
    <cfRule type="cellIs" dxfId="12" priority="2" operator="greaterThan">
      <formula>100%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DBBD-9863-4842-98E0-0ED0295B6C80}">
  <dimension ref="A1:E10"/>
  <sheetViews>
    <sheetView workbookViewId="0">
      <selection activeCell="E11" sqref="E11"/>
    </sheetView>
  </sheetViews>
  <sheetFormatPr defaultRowHeight="14.4" x14ac:dyDescent="0.3"/>
  <cols>
    <col min="1" max="1" width="11.21875" bestFit="1" customWidth="1"/>
    <col min="2" max="2" width="22.109375" bestFit="1" customWidth="1"/>
    <col min="3" max="3" width="11.6640625" bestFit="1" customWidth="1"/>
    <col min="4" max="4" width="11.21875" bestFit="1" customWidth="1"/>
    <col min="5" max="5" width="22.109375" bestFit="1" customWidth="1"/>
    <col min="6" max="8" width="11.6640625" bestFit="1" customWidth="1"/>
    <col min="9" max="9" width="23.109375" bestFit="1" customWidth="1"/>
    <col min="10" max="10" width="11.21875" bestFit="1" customWidth="1"/>
    <col min="11" max="11" width="22.109375" bestFit="1" customWidth="1"/>
    <col min="12" max="14" width="12" bestFit="1" customWidth="1"/>
    <col min="15" max="15" width="10.44140625" bestFit="1" customWidth="1"/>
    <col min="16" max="16" width="12" bestFit="1" customWidth="1"/>
    <col min="17" max="17" width="11.109375" bestFit="1" customWidth="1"/>
    <col min="18" max="18" width="10.44140625" bestFit="1" customWidth="1"/>
    <col min="19" max="19" width="13.33203125" bestFit="1" customWidth="1"/>
    <col min="20" max="21" width="10.44140625" bestFit="1" customWidth="1"/>
    <col min="22" max="22" width="12" bestFit="1" customWidth="1"/>
    <col min="23" max="23" width="11.109375" bestFit="1" customWidth="1"/>
    <col min="24" max="24" width="10.44140625" bestFit="1" customWidth="1"/>
    <col min="25" max="26" width="12" bestFit="1" customWidth="1"/>
  </cols>
  <sheetData>
    <row r="1" spans="1:5" x14ac:dyDescent="0.3">
      <c r="A1" s="30" t="s">
        <v>10</v>
      </c>
      <c r="B1" s="31" t="s">
        <v>111</v>
      </c>
      <c r="D1" s="46" t="s">
        <v>112</v>
      </c>
      <c r="E1" s="46"/>
    </row>
    <row r="2" spans="1:5" x14ac:dyDescent="0.3">
      <c r="A2" s="30" t="s">
        <v>4</v>
      </c>
      <c r="B2" s="31" t="s">
        <v>111</v>
      </c>
      <c r="D2" s="26" t="s">
        <v>4</v>
      </c>
      <c r="E2" s="27" t="s">
        <v>113</v>
      </c>
    </row>
    <row r="3" spans="1:5" x14ac:dyDescent="0.3">
      <c r="D3" s="28" t="s">
        <v>23</v>
      </c>
      <c r="E3" s="33">
        <v>1101510</v>
      </c>
    </row>
    <row r="4" spans="1:5" x14ac:dyDescent="0.3">
      <c r="A4" s="26" t="s">
        <v>2</v>
      </c>
      <c r="B4" s="27" t="s">
        <v>113</v>
      </c>
      <c r="D4" s="32" t="s">
        <v>31</v>
      </c>
      <c r="E4" s="34">
        <v>1192240</v>
      </c>
    </row>
    <row r="5" spans="1:5" x14ac:dyDescent="0.3">
      <c r="A5" s="28" t="s">
        <v>34</v>
      </c>
      <c r="B5" s="33">
        <v>718050</v>
      </c>
      <c r="D5" s="32" t="s">
        <v>51</v>
      </c>
      <c r="E5" s="34">
        <v>1260280</v>
      </c>
    </row>
    <row r="6" spans="1:5" x14ac:dyDescent="0.3">
      <c r="A6" s="32" t="s">
        <v>38</v>
      </c>
      <c r="B6" s="34">
        <v>978000</v>
      </c>
      <c r="D6" s="32" t="s">
        <v>26</v>
      </c>
      <c r="E6" s="34">
        <v>1686250</v>
      </c>
    </row>
    <row r="7" spans="1:5" x14ac:dyDescent="0.3">
      <c r="A7" s="32" t="s">
        <v>12</v>
      </c>
      <c r="B7" s="34">
        <v>1080320</v>
      </c>
      <c r="D7" s="32" t="s">
        <v>14</v>
      </c>
      <c r="E7" s="34">
        <v>4328190</v>
      </c>
    </row>
    <row r="8" spans="1:5" x14ac:dyDescent="0.3">
      <c r="A8" s="32" t="s">
        <v>19</v>
      </c>
      <c r="B8" s="34">
        <v>1346100</v>
      </c>
      <c r="D8" s="29" t="s">
        <v>114</v>
      </c>
      <c r="E8" s="35">
        <v>9568470</v>
      </c>
    </row>
    <row r="9" spans="1:5" x14ac:dyDescent="0.3">
      <c r="A9" s="32" t="s">
        <v>16</v>
      </c>
      <c r="B9" s="34">
        <v>5446000</v>
      </c>
    </row>
    <row r="10" spans="1:5" x14ac:dyDescent="0.3">
      <c r="A10" s="29" t="s">
        <v>114</v>
      </c>
      <c r="B10" s="35">
        <v>9568470</v>
      </c>
    </row>
  </sheetData>
  <mergeCells count="1">
    <mergeCell ref="D1:E1"/>
  </mergeCells>
  <pageMargins left="0.7" right="0.7" top="0.75" bottom="0.75" header="0.3" footer="0.3"/>
  <pageSetup paperSize="9" orientation="portrait" horizontalDpi="300" verticalDpi="3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46F0-7448-4023-BE73-B3D4342FEC81}">
  <dimension ref="A1:R22"/>
  <sheetViews>
    <sheetView showGridLines="0" tabSelected="1" workbookViewId="0">
      <selection activeCell="B4" sqref="B4"/>
    </sheetView>
  </sheetViews>
  <sheetFormatPr defaultColWidth="0" defaultRowHeight="14.4" zeroHeight="1" x14ac:dyDescent="0.3"/>
  <cols>
    <col min="1" max="1" width="13.88671875" customWidth="1"/>
    <col min="2" max="2" width="36.5546875" bestFit="1" customWidth="1"/>
    <col min="3" max="3" width="36.5546875" customWidth="1"/>
    <col min="4" max="4" width="21.33203125" customWidth="1"/>
    <col min="5" max="5" width="19.6640625" bestFit="1" customWidth="1"/>
    <col min="6" max="6" width="19.44140625" customWidth="1"/>
    <col min="7" max="7" width="15.109375" bestFit="1" customWidth="1"/>
    <col min="8" max="8" width="15.88671875" customWidth="1"/>
    <col min="9" max="9" width="15.109375" bestFit="1" customWidth="1"/>
    <col min="10" max="10" width="9.109375" customWidth="1"/>
    <col min="11" max="18" width="9.109375" hidden="1" customWidth="1"/>
  </cols>
  <sheetData>
    <row r="1" spans="1:16" s="43" customFormat="1" ht="54.75" customHeight="1" x14ac:dyDescent="0.4">
      <c r="A1" s="43" t="s">
        <v>120</v>
      </c>
    </row>
    <row r="2" spans="1:16" ht="21" x14ac:dyDescent="0.4">
      <c r="A2" s="44" t="s">
        <v>115</v>
      </c>
      <c r="B2" s="44"/>
      <c r="C2" s="19"/>
      <c r="D2" s="44" t="s">
        <v>116</v>
      </c>
      <c r="E2" s="44"/>
      <c r="F2" s="44" t="s">
        <v>119</v>
      </c>
      <c r="G2" s="44"/>
      <c r="H2" s="44"/>
      <c r="I2" s="44"/>
      <c r="J2" s="44"/>
      <c r="K2" s="38"/>
      <c r="L2" s="38"/>
      <c r="M2" s="38"/>
      <c r="N2" s="37"/>
      <c r="O2" s="37"/>
    </row>
    <row r="3" spans="1:16" ht="21" x14ac:dyDescent="0.4">
      <c r="A3" s="39" t="s">
        <v>108</v>
      </c>
      <c r="B3" s="40">
        <f>SUM(Данные!H:H)</f>
        <v>9568470</v>
      </c>
      <c r="C3" s="20"/>
      <c r="D3" s="44" t="str" cm="1">
        <f t="array" ref="D3">INDEX(Сводные!D3:D7, MATCH(MAX(Сводные!E3:E7),Сводные!E3:E7),0)</f>
        <v>Россия</v>
      </c>
      <c r="E3" s="44"/>
      <c r="F3" s="44" t="str">
        <f>INDEX(Сводные!A5:A19, MATCH(MAX(Сводные!B5:B9),Сводные!B5:B9,0))</f>
        <v>Nescafe</v>
      </c>
      <c r="G3" s="44"/>
      <c r="H3" s="44"/>
      <c r="I3" s="44"/>
      <c r="J3" s="44"/>
      <c r="K3" s="38"/>
      <c r="L3" s="38"/>
      <c r="M3" s="38"/>
      <c r="N3" s="37"/>
      <c r="O3" s="37"/>
    </row>
    <row r="4" spans="1:16" ht="18" x14ac:dyDescent="0.35">
      <c r="A4" s="39" t="s">
        <v>117</v>
      </c>
      <c r="B4" s="41">
        <f>'План на квартал'!B7</f>
        <v>8300000</v>
      </c>
      <c r="C4" s="21"/>
      <c r="D4" s="3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8" x14ac:dyDescent="0.35">
      <c r="A5" s="39" t="s">
        <v>118</v>
      </c>
      <c r="B5" s="42">
        <f>B3/VLOOKUP("Всего СНГ",'План на квартал'!A:B,2,0)-1</f>
        <v>0.15282771084337354</v>
      </c>
      <c r="C5" s="2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E6" s="2"/>
      <c r="G6" s="2"/>
    </row>
    <row r="7" spans="1:16" x14ac:dyDescent="0.3"/>
    <row r="8" spans="1:16" x14ac:dyDescent="0.3"/>
    <row r="9" spans="1:16" x14ac:dyDescent="0.3"/>
    <row r="10" spans="1:16" x14ac:dyDescent="0.3"/>
    <row r="11" spans="1:16" x14ac:dyDescent="0.3"/>
    <row r="12" spans="1:16" x14ac:dyDescent="0.3"/>
    <row r="13" spans="1:16" x14ac:dyDescent="0.3"/>
    <row r="14" spans="1:16" x14ac:dyDescent="0.3">
      <c r="D14" s="4"/>
      <c r="G14" s="5"/>
    </row>
    <row r="15" spans="1:16" x14ac:dyDescent="0.3"/>
    <row r="16" spans="1:16" x14ac:dyDescent="0.3"/>
    <row r="17" x14ac:dyDescent="0.3"/>
    <row r="18" x14ac:dyDescent="0.3"/>
    <row r="19" x14ac:dyDescent="0.3"/>
    <row r="20" x14ac:dyDescent="0.3"/>
    <row r="21" x14ac:dyDescent="0.3"/>
    <row r="22" x14ac:dyDescent="0.3"/>
  </sheetData>
  <mergeCells count="6">
    <mergeCell ref="A1:XFD1"/>
    <mergeCell ref="F2:J2"/>
    <mergeCell ref="F3:J3"/>
    <mergeCell ref="A2:B2"/>
    <mergeCell ref="D2:E2"/>
    <mergeCell ref="D3:E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План на квартал</vt:lpstr>
      <vt:lpstr>План-Факт</vt:lpstr>
      <vt:lpstr>Сводные</vt:lpstr>
      <vt:lpstr>Дашборд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 W</cp:lastModifiedBy>
  <cp:revision/>
  <dcterms:created xsi:type="dcterms:W3CDTF">2026-03-30T13:40:32Z</dcterms:created>
  <dcterms:modified xsi:type="dcterms:W3CDTF">2026-04-01T09:31:20Z</dcterms:modified>
  <cp:category/>
  <cp:contentStatus/>
</cp:coreProperties>
</file>